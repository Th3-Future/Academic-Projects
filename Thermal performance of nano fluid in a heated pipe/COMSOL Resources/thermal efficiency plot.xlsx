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f579d7de8396439e/Ryerson University/AE8104 - Advanced Heat Transmission I - F2021/Exam/Final Exam project Resources/"/>
    </mc:Choice>
  </mc:AlternateContent>
  <xr:revisionPtr revIDLastSave="10" documentId="8_{71CD1F0D-458D-4804-9C20-18645928720C}" xr6:coauthVersionLast="47" xr6:coauthVersionMax="47" xr10:uidLastSave="{018C70B0-75EA-449C-AE9E-7B2A02798CE6}"/>
  <bookViews>
    <workbookView xWindow="-108" yWindow="-108" windowWidth="22320" windowHeight="13176" activeTab="1" xr2:uid="{00000000-000D-0000-FFFF-FFFF00000000}"/>
  </bookViews>
  <sheets>
    <sheet name="Sheet1" sheetId="1" r:id="rId1"/>
    <sheet name="Sheet2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Q2" i="3"/>
  <c r="P2" i="3"/>
  <c r="M2" i="3"/>
  <c r="L3" i="1"/>
  <c r="K3" i="1"/>
  <c r="J3" i="1"/>
  <c r="I3" i="1"/>
  <c r="O2" i="3"/>
  <c r="N2" i="3"/>
  <c r="F3" i="3" l="1"/>
  <c r="G14" i="3"/>
  <c r="H11" i="3"/>
  <c r="I2" i="3"/>
  <c r="H4" i="3"/>
  <c r="H156" i="3"/>
  <c r="H148" i="3"/>
  <c r="H2" i="3"/>
  <c r="F157" i="3"/>
  <c r="F149" i="3"/>
  <c r="F141" i="3"/>
  <c r="F133" i="3"/>
  <c r="F125" i="3"/>
  <c r="F117" i="3"/>
  <c r="F109" i="3"/>
  <c r="H96" i="3"/>
  <c r="H82" i="3"/>
  <c r="H66" i="3"/>
  <c r="H50" i="3"/>
  <c r="H34" i="3"/>
  <c r="H18" i="3"/>
  <c r="H140" i="3"/>
  <c r="H124" i="3"/>
  <c r="H116" i="3"/>
  <c r="F95" i="3"/>
  <c r="H80" i="3"/>
  <c r="H64" i="3"/>
  <c r="H48" i="3"/>
  <c r="H16" i="3"/>
  <c r="G3" i="3"/>
  <c r="G2" i="3"/>
  <c r="F155" i="3"/>
  <c r="F147" i="3"/>
  <c r="F139" i="3"/>
  <c r="F131" i="3"/>
  <c r="F123" i="3"/>
  <c r="F115" i="3"/>
  <c r="F107" i="3"/>
  <c r="J107" i="3" s="1"/>
  <c r="H94" i="3"/>
  <c r="H78" i="3"/>
  <c r="H62" i="3"/>
  <c r="H46" i="3"/>
  <c r="H30" i="3"/>
  <c r="H14" i="3"/>
  <c r="H132" i="3"/>
  <c r="H108" i="3"/>
  <c r="H32" i="3"/>
  <c r="H162" i="3"/>
  <c r="H154" i="3"/>
  <c r="H146" i="3"/>
  <c r="H138" i="3"/>
  <c r="H130" i="3"/>
  <c r="H122" i="3"/>
  <c r="H114" i="3"/>
  <c r="H106" i="3"/>
  <c r="H92" i="3"/>
  <c r="H76" i="3"/>
  <c r="H60" i="3"/>
  <c r="H44" i="3"/>
  <c r="H28" i="3"/>
  <c r="H12" i="3"/>
  <c r="F161" i="3"/>
  <c r="F145" i="3"/>
  <c r="J145" i="3" s="1"/>
  <c r="F129" i="3"/>
  <c r="F113" i="3"/>
  <c r="H90" i="3"/>
  <c r="H58" i="3"/>
  <c r="H26" i="3"/>
  <c r="H152" i="3"/>
  <c r="H136" i="3"/>
  <c r="H120" i="3"/>
  <c r="H88" i="3"/>
  <c r="H24" i="3"/>
  <c r="F153" i="3"/>
  <c r="F137" i="3"/>
  <c r="F121" i="3"/>
  <c r="H104" i="3"/>
  <c r="H74" i="3"/>
  <c r="H42" i="3"/>
  <c r="H10" i="3"/>
  <c r="H160" i="3"/>
  <c r="H144" i="3"/>
  <c r="H128" i="3"/>
  <c r="H112" i="3"/>
  <c r="H102" i="3"/>
  <c r="H72" i="3"/>
  <c r="H56" i="3"/>
  <c r="H40" i="3"/>
  <c r="H8" i="3"/>
  <c r="F159" i="3"/>
  <c r="F151" i="3"/>
  <c r="F143" i="3"/>
  <c r="F135" i="3"/>
  <c r="F127" i="3"/>
  <c r="F119" i="3"/>
  <c r="J119" i="3" s="1"/>
  <c r="F111" i="3"/>
  <c r="H100" i="3"/>
  <c r="H86" i="3"/>
  <c r="H70" i="3"/>
  <c r="H54" i="3"/>
  <c r="H38" i="3"/>
  <c r="H22" i="3"/>
  <c r="H6" i="3"/>
  <c r="H158" i="3"/>
  <c r="H150" i="3"/>
  <c r="H142" i="3"/>
  <c r="H134" i="3"/>
  <c r="H126" i="3"/>
  <c r="H118" i="3"/>
  <c r="H110" i="3"/>
  <c r="H98" i="3"/>
  <c r="H84" i="3"/>
  <c r="H68" i="3"/>
  <c r="H52" i="3"/>
  <c r="H36" i="3"/>
  <c r="H20" i="3"/>
  <c r="F105" i="3"/>
  <c r="F103" i="3"/>
  <c r="J103" i="3" s="1"/>
  <c r="F101" i="3"/>
  <c r="F99" i="3"/>
  <c r="F97" i="3"/>
  <c r="I162" i="3"/>
  <c r="I160" i="3"/>
  <c r="I158" i="3"/>
  <c r="I156" i="3"/>
  <c r="I154" i="3"/>
  <c r="I152" i="3"/>
  <c r="I150" i="3"/>
  <c r="I148" i="3"/>
  <c r="I146" i="3"/>
  <c r="I144" i="3"/>
  <c r="I142" i="3"/>
  <c r="I140" i="3"/>
  <c r="I138" i="3"/>
  <c r="I136" i="3"/>
  <c r="I134" i="3"/>
  <c r="I132" i="3"/>
  <c r="I130" i="3"/>
  <c r="I128" i="3"/>
  <c r="I126" i="3"/>
  <c r="I124" i="3"/>
  <c r="I122" i="3"/>
  <c r="I120" i="3"/>
  <c r="I118" i="3"/>
  <c r="I116" i="3"/>
  <c r="I114" i="3"/>
  <c r="I112" i="3"/>
  <c r="I110" i="3"/>
  <c r="I108" i="3"/>
  <c r="I106" i="3"/>
  <c r="I104" i="3"/>
  <c r="I102" i="3"/>
  <c r="I100" i="3"/>
  <c r="I98" i="3"/>
  <c r="I96" i="3"/>
  <c r="I94" i="3"/>
  <c r="I92" i="3"/>
  <c r="I90" i="3"/>
  <c r="I88" i="3"/>
  <c r="I86" i="3"/>
  <c r="I84" i="3"/>
  <c r="I82" i="3"/>
  <c r="I80" i="3"/>
  <c r="I78" i="3"/>
  <c r="I76" i="3"/>
  <c r="I74" i="3"/>
  <c r="I72" i="3"/>
  <c r="I70" i="3"/>
  <c r="I68" i="3"/>
  <c r="I66" i="3"/>
  <c r="I64" i="3"/>
  <c r="I62" i="3"/>
  <c r="I60" i="3"/>
  <c r="I58" i="3"/>
  <c r="I56" i="3"/>
  <c r="I54" i="3"/>
  <c r="I52" i="3"/>
  <c r="I50" i="3"/>
  <c r="I48" i="3"/>
  <c r="I46" i="3"/>
  <c r="I44" i="3"/>
  <c r="I42" i="3"/>
  <c r="I40" i="3"/>
  <c r="I38" i="3"/>
  <c r="I36" i="3"/>
  <c r="I34" i="3"/>
  <c r="I32" i="3"/>
  <c r="I30" i="3"/>
  <c r="I28" i="3"/>
  <c r="I26" i="3"/>
  <c r="I24" i="3"/>
  <c r="I22" i="3"/>
  <c r="I20" i="3"/>
  <c r="I18" i="3"/>
  <c r="I16" i="3"/>
  <c r="I14" i="3"/>
  <c r="I12" i="3"/>
  <c r="I10" i="3"/>
  <c r="I8" i="3"/>
  <c r="I6" i="3"/>
  <c r="I4" i="3"/>
  <c r="G162" i="3"/>
  <c r="G160" i="3"/>
  <c r="G158" i="3"/>
  <c r="G156" i="3"/>
  <c r="G154" i="3"/>
  <c r="J154" i="3" s="1"/>
  <c r="G152" i="3"/>
  <c r="J152" i="3" s="1"/>
  <c r="G150" i="3"/>
  <c r="G148" i="3"/>
  <c r="G146" i="3"/>
  <c r="G144" i="3"/>
  <c r="G142" i="3"/>
  <c r="G140" i="3"/>
  <c r="G138" i="3"/>
  <c r="J138" i="3" s="1"/>
  <c r="G136" i="3"/>
  <c r="G134" i="3"/>
  <c r="G132" i="3"/>
  <c r="G130" i="3"/>
  <c r="G128" i="3"/>
  <c r="G126" i="3"/>
  <c r="G124" i="3"/>
  <c r="G122" i="3"/>
  <c r="J122" i="3" s="1"/>
  <c r="G120" i="3"/>
  <c r="J120" i="3" s="1"/>
  <c r="G118" i="3"/>
  <c r="G116" i="3"/>
  <c r="G114" i="3"/>
  <c r="J114" i="3" s="1"/>
  <c r="G112" i="3"/>
  <c r="G110" i="3"/>
  <c r="G108" i="3"/>
  <c r="G106" i="3"/>
  <c r="J106" i="3" s="1"/>
  <c r="G104" i="3"/>
  <c r="J104" i="3" s="1"/>
  <c r="G102" i="3"/>
  <c r="G100" i="3"/>
  <c r="G98" i="3"/>
  <c r="J98" i="3" s="1"/>
  <c r="G96" i="3"/>
  <c r="G94" i="3"/>
  <c r="G92" i="3"/>
  <c r="G90" i="3"/>
  <c r="G88" i="3"/>
  <c r="J88" i="3" s="1"/>
  <c r="G86" i="3"/>
  <c r="G84" i="3"/>
  <c r="G82" i="3"/>
  <c r="J82" i="3" s="1"/>
  <c r="G80" i="3"/>
  <c r="G78" i="3"/>
  <c r="G76" i="3"/>
  <c r="G74" i="3"/>
  <c r="J74" i="3" s="1"/>
  <c r="G72" i="3"/>
  <c r="J72" i="3" s="1"/>
  <c r="G70" i="3"/>
  <c r="G68" i="3"/>
  <c r="G66" i="3"/>
  <c r="G64" i="3"/>
  <c r="G62" i="3"/>
  <c r="G60" i="3"/>
  <c r="G58" i="3"/>
  <c r="G56" i="3"/>
  <c r="J56" i="3" s="1"/>
  <c r="G54" i="3"/>
  <c r="G52" i="3"/>
  <c r="G50" i="3"/>
  <c r="G48" i="3"/>
  <c r="G46" i="3"/>
  <c r="G44" i="3"/>
  <c r="G42" i="3"/>
  <c r="G40" i="3"/>
  <c r="G38" i="3"/>
  <c r="G36" i="3"/>
  <c r="G34" i="3"/>
  <c r="J34" i="3" s="1"/>
  <c r="G32" i="3"/>
  <c r="G30" i="3"/>
  <c r="G28" i="3"/>
  <c r="G26" i="3"/>
  <c r="G24" i="3"/>
  <c r="J24" i="3" s="1"/>
  <c r="G22" i="3"/>
  <c r="G20" i="3"/>
  <c r="G18" i="3"/>
  <c r="J18" i="3" s="1"/>
  <c r="G16" i="3"/>
  <c r="G12" i="3"/>
  <c r="G10" i="3"/>
  <c r="G8" i="3"/>
  <c r="J8" i="3" s="1"/>
  <c r="G6" i="3"/>
  <c r="J6" i="3" s="1"/>
  <c r="G4" i="3"/>
  <c r="F162" i="3"/>
  <c r="F160" i="3"/>
  <c r="F158" i="3"/>
  <c r="F156" i="3"/>
  <c r="F154" i="3"/>
  <c r="F152" i="3"/>
  <c r="F150" i="3"/>
  <c r="F148" i="3"/>
  <c r="F146" i="3"/>
  <c r="F144" i="3"/>
  <c r="J144" i="3" s="1"/>
  <c r="F142" i="3"/>
  <c r="F140" i="3"/>
  <c r="F138" i="3"/>
  <c r="F136" i="3"/>
  <c r="F134" i="3"/>
  <c r="J134" i="3" s="1"/>
  <c r="F132" i="3"/>
  <c r="F130" i="3"/>
  <c r="F128" i="3"/>
  <c r="F126" i="3"/>
  <c r="F124" i="3"/>
  <c r="F122" i="3"/>
  <c r="F120" i="3"/>
  <c r="F118" i="3"/>
  <c r="F116" i="3"/>
  <c r="F114" i="3"/>
  <c r="F112" i="3"/>
  <c r="F110" i="3"/>
  <c r="F108" i="3"/>
  <c r="F106" i="3"/>
  <c r="F104" i="3"/>
  <c r="F102" i="3"/>
  <c r="J102" i="3" s="1"/>
  <c r="F100" i="3"/>
  <c r="F98" i="3"/>
  <c r="F96" i="3"/>
  <c r="F94" i="3"/>
  <c r="F92" i="3"/>
  <c r="F90" i="3"/>
  <c r="F88" i="3"/>
  <c r="F86" i="3"/>
  <c r="F84" i="3"/>
  <c r="F82" i="3"/>
  <c r="F80" i="3"/>
  <c r="F78" i="3"/>
  <c r="F76" i="3"/>
  <c r="F74" i="3"/>
  <c r="F72" i="3"/>
  <c r="F70" i="3"/>
  <c r="J70" i="3" s="1"/>
  <c r="F68" i="3"/>
  <c r="F66" i="3"/>
  <c r="F64" i="3"/>
  <c r="F62" i="3"/>
  <c r="F60" i="3"/>
  <c r="F58" i="3"/>
  <c r="F56" i="3"/>
  <c r="F54" i="3"/>
  <c r="J54" i="3" s="1"/>
  <c r="F52" i="3"/>
  <c r="F50" i="3"/>
  <c r="F48" i="3"/>
  <c r="F46" i="3"/>
  <c r="F44" i="3"/>
  <c r="F42" i="3"/>
  <c r="F40" i="3"/>
  <c r="F38" i="3"/>
  <c r="J38" i="3" s="1"/>
  <c r="F36" i="3"/>
  <c r="F34" i="3"/>
  <c r="F32" i="3"/>
  <c r="F30" i="3"/>
  <c r="F28" i="3"/>
  <c r="F26" i="3"/>
  <c r="F24" i="3"/>
  <c r="F22" i="3"/>
  <c r="J22" i="3" s="1"/>
  <c r="F20" i="3"/>
  <c r="F18" i="3"/>
  <c r="F16" i="3"/>
  <c r="F14" i="3"/>
  <c r="F12" i="3"/>
  <c r="F10" i="3"/>
  <c r="F8" i="3"/>
  <c r="F6" i="3"/>
  <c r="F4" i="3"/>
  <c r="I161" i="3"/>
  <c r="I159" i="3"/>
  <c r="I157" i="3"/>
  <c r="I155" i="3"/>
  <c r="I153" i="3"/>
  <c r="I151" i="3"/>
  <c r="I149" i="3"/>
  <c r="I147" i="3"/>
  <c r="I145" i="3"/>
  <c r="I143" i="3"/>
  <c r="I141" i="3"/>
  <c r="I139" i="3"/>
  <c r="I137" i="3"/>
  <c r="I135" i="3"/>
  <c r="I133" i="3"/>
  <c r="I131" i="3"/>
  <c r="I129" i="3"/>
  <c r="I127" i="3"/>
  <c r="I125" i="3"/>
  <c r="I123" i="3"/>
  <c r="I121" i="3"/>
  <c r="I119" i="3"/>
  <c r="I117" i="3"/>
  <c r="I115" i="3"/>
  <c r="I113" i="3"/>
  <c r="I111" i="3"/>
  <c r="I109" i="3"/>
  <c r="I107" i="3"/>
  <c r="I105" i="3"/>
  <c r="I103" i="3"/>
  <c r="I101" i="3"/>
  <c r="I99" i="3"/>
  <c r="I97" i="3"/>
  <c r="I95" i="3"/>
  <c r="I93" i="3"/>
  <c r="I91" i="3"/>
  <c r="I89" i="3"/>
  <c r="I87" i="3"/>
  <c r="I85" i="3"/>
  <c r="I83" i="3"/>
  <c r="I81" i="3"/>
  <c r="I79" i="3"/>
  <c r="I77" i="3"/>
  <c r="I75" i="3"/>
  <c r="I73" i="3"/>
  <c r="I71" i="3"/>
  <c r="I69" i="3"/>
  <c r="I67" i="3"/>
  <c r="I65" i="3"/>
  <c r="I63" i="3"/>
  <c r="I61" i="3"/>
  <c r="I59" i="3"/>
  <c r="I57" i="3"/>
  <c r="I55" i="3"/>
  <c r="I53" i="3"/>
  <c r="I51" i="3"/>
  <c r="I49" i="3"/>
  <c r="I47" i="3"/>
  <c r="I45" i="3"/>
  <c r="I43" i="3"/>
  <c r="I41" i="3"/>
  <c r="I39" i="3"/>
  <c r="I37" i="3"/>
  <c r="I35" i="3"/>
  <c r="I33" i="3"/>
  <c r="I31" i="3"/>
  <c r="I29" i="3"/>
  <c r="I27" i="3"/>
  <c r="I25" i="3"/>
  <c r="I23" i="3"/>
  <c r="I21" i="3"/>
  <c r="I19" i="3"/>
  <c r="I17" i="3"/>
  <c r="I15" i="3"/>
  <c r="I13" i="3"/>
  <c r="I11" i="3"/>
  <c r="I9" i="3"/>
  <c r="I7" i="3"/>
  <c r="I5" i="3"/>
  <c r="I3" i="3"/>
  <c r="H161" i="3"/>
  <c r="H159" i="3"/>
  <c r="H157" i="3"/>
  <c r="H155" i="3"/>
  <c r="H153" i="3"/>
  <c r="H151" i="3"/>
  <c r="H149" i="3"/>
  <c r="H147" i="3"/>
  <c r="H145" i="3"/>
  <c r="H143" i="3"/>
  <c r="H141" i="3"/>
  <c r="H139" i="3"/>
  <c r="H137" i="3"/>
  <c r="H135" i="3"/>
  <c r="H133" i="3"/>
  <c r="H131" i="3"/>
  <c r="H129" i="3"/>
  <c r="H127" i="3"/>
  <c r="H125" i="3"/>
  <c r="H123" i="3"/>
  <c r="H121" i="3"/>
  <c r="H119" i="3"/>
  <c r="H117" i="3"/>
  <c r="H115" i="3"/>
  <c r="H113" i="3"/>
  <c r="H111" i="3"/>
  <c r="H109" i="3"/>
  <c r="H107" i="3"/>
  <c r="H105" i="3"/>
  <c r="H103" i="3"/>
  <c r="H101" i="3"/>
  <c r="H99" i="3"/>
  <c r="H97" i="3"/>
  <c r="H95" i="3"/>
  <c r="H93" i="3"/>
  <c r="H91" i="3"/>
  <c r="H89" i="3"/>
  <c r="H87" i="3"/>
  <c r="H85" i="3"/>
  <c r="H83" i="3"/>
  <c r="H81" i="3"/>
  <c r="H79" i="3"/>
  <c r="H77" i="3"/>
  <c r="H75" i="3"/>
  <c r="H73" i="3"/>
  <c r="H71" i="3"/>
  <c r="H69" i="3"/>
  <c r="H67" i="3"/>
  <c r="H65" i="3"/>
  <c r="H63" i="3"/>
  <c r="H61" i="3"/>
  <c r="H59" i="3"/>
  <c r="H57" i="3"/>
  <c r="H55" i="3"/>
  <c r="H53" i="3"/>
  <c r="H51" i="3"/>
  <c r="H49" i="3"/>
  <c r="H47" i="3"/>
  <c r="H45" i="3"/>
  <c r="H43" i="3"/>
  <c r="H41" i="3"/>
  <c r="H39" i="3"/>
  <c r="H37" i="3"/>
  <c r="H35" i="3"/>
  <c r="H33" i="3"/>
  <c r="H31" i="3"/>
  <c r="H29" i="3"/>
  <c r="H27" i="3"/>
  <c r="H25" i="3"/>
  <c r="H23" i="3"/>
  <c r="H21" i="3"/>
  <c r="H19" i="3"/>
  <c r="H17" i="3"/>
  <c r="H15" i="3"/>
  <c r="H13" i="3"/>
  <c r="H9" i="3"/>
  <c r="H7" i="3"/>
  <c r="H5" i="3"/>
  <c r="H3" i="3"/>
  <c r="G161" i="3"/>
  <c r="G159" i="3"/>
  <c r="G157" i="3"/>
  <c r="J157" i="3" s="1"/>
  <c r="G155" i="3"/>
  <c r="G153" i="3"/>
  <c r="G151" i="3"/>
  <c r="G149" i="3"/>
  <c r="G147" i="3"/>
  <c r="J147" i="3" s="1"/>
  <c r="G145" i="3"/>
  <c r="G143" i="3"/>
  <c r="G141" i="3"/>
  <c r="G139" i="3"/>
  <c r="G137" i="3"/>
  <c r="G135" i="3"/>
  <c r="G133" i="3"/>
  <c r="J133" i="3" s="1"/>
  <c r="G131" i="3"/>
  <c r="J131" i="3" s="1"/>
  <c r="G129" i="3"/>
  <c r="G127" i="3"/>
  <c r="G125" i="3"/>
  <c r="J125" i="3" s="1"/>
  <c r="G123" i="3"/>
  <c r="G121" i="3"/>
  <c r="G119" i="3"/>
  <c r="G117" i="3"/>
  <c r="G115" i="3"/>
  <c r="J115" i="3" s="1"/>
  <c r="G113" i="3"/>
  <c r="G111" i="3"/>
  <c r="G109" i="3"/>
  <c r="G107" i="3"/>
  <c r="G105" i="3"/>
  <c r="G103" i="3"/>
  <c r="G101" i="3"/>
  <c r="J101" i="3" s="1"/>
  <c r="G99" i="3"/>
  <c r="J99" i="3" s="1"/>
  <c r="G97" i="3"/>
  <c r="G95" i="3"/>
  <c r="J95" i="3" s="1"/>
  <c r="G93" i="3"/>
  <c r="G91" i="3"/>
  <c r="G89" i="3"/>
  <c r="G87" i="3"/>
  <c r="G85" i="3"/>
  <c r="G83" i="3"/>
  <c r="J83" i="3" s="1"/>
  <c r="G81" i="3"/>
  <c r="G79" i="3"/>
  <c r="G77" i="3"/>
  <c r="G75" i="3"/>
  <c r="J75" i="3" s="1"/>
  <c r="G73" i="3"/>
  <c r="G71" i="3"/>
  <c r="G69" i="3"/>
  <c r="G67" i="3"/>
  <c r="J67" i="3" s="1"/>
  <c r="G65" i="3"/>
  <c r="G63" i="3"/>
  <c r="G61" i="3"/>
  <c r="G59" i="3"/>
  <c r="G57" i="3"/>
  <c r="G55" i="3"/>
  <c r="G53" i="3"/>
  <c r="J53" i="3" s="1"/>
  <c r="G51" i="3"/>
  <c r="J51" i="3" s="1"/>
  <c r="G49" i="3"/>
  <c r="G47" i="3"/>
  <c r="G45" i="3"/>
  <c r="G43" i="3"/>
  <c r="J43" i="3" s="1"/>
  <c r="G41" i="3"/>
  <c r="G39" i="3"/>
  <c r="G37" i="3"/>
  <c r="J37" i="3" s="1"/>
  <c r="G35" i="3"/>
  <c r="J35" i="3" s="1"/>
  <c r="G33" i="3"/>
  <c r="G31" i="3"/>
  <c r="G29" i="3"/>
  <c r="G27" i="3"/>
  <c r="G25" i="3"/>
  <c r="G23" i="3"/>
  <c r="G21" i="3"/>
  <c r="J21" i="3" s="1"/>
  <c r="G19" i="3"/>
  <c r="J19" i="3" s="1"/>
  <c r="G17" i="3"/>
  <c r="G15" i="3"/>
  <c r="G13" i="3"/>
  <c r="G11" i="3"/>
  <c r="G9" i="3"/>
  <c r="G7" i="3"/>
  <c r="G5" i="3"/>
  <c r="F93" i="3"/>
  <c r="F91" i="3"/>
  <c r="F89" i="3"/>
  <c r="J89" i="3" s="1"/>
  <c r="F87" i="3"/>
  <c r="J87" i="3" s="1"/>
  <c r="F85" i="3"/>
  <c r="F83" i="3"/>
  <c r="F81" i="3"/>
  <c r="F79" i="3"/>
  <c r="F77" i="3"/>
  <c r="F75" i="3"/>
  <c r="F73" i="3"/>
  <c r="F71" i="3"/>
  <c r="J71" i="3" s="1"/>
  <c r="F69" i="3"/>
  <c r="F67" i="3"/>
  <c r="F65" i="3"/>
  <c r="F63" i="3"/>
  <c r="F61" i="3"/>
  <c r="F59" i="3"/>
  <c r="F57" i="3"/>
  <c r="J57" i="3" s="1"/>
  <c r="F55" i="3"/>
  <c r="J55" i="3" s="1"/>
  <c r="F53" i="3"/>
  <c r="F51" i="3"/>
  <c r="F49" i="3"/>
  <c r="F47" i="3"/>
  <c r="F45" i="3"/>
  <c r="F43" i="3"/>
  <c r="F41" i="3"/>
  <c r="J41" i="3" s="1"/>
  <c r="F39" i="3"/>
  <c r="J39" i="3" s="1"/>
  <c r="F37" i="3"/>
  <c r="F35" i="3"/>
  <c r="F33" i="3"/>
  <c r="F31" i="3"/>
  <c r="F29" i="3"/>
  <c r="F27" i="3"/>
  <c r="F25" i="3"/>
  <c r="F23" i="3"/>
  <c r="J23" i="3" s="1"/>
  <c r="F21" i="3"/>
  <c r="F19" i="3"/>
  <c r="F17" i="3"/>
  <c r="F15" i="3"/>
  <c r="F13" i="3"/>
  <c r="F11" i="3"/>
  <c r="F9" i="3"/>
  <c r="F7" i="3"/>
  <c r="J7" i="3" s="1"/>
  <c r="F5" i="3"/>
  <c r="J3" i="3"/>
  <c r="J11" i="3"/>
  <c r="J4" i="3"/>
  <c r="J12" i="3"/>
  <c r="J20" i="3"/>
  <c r="J44" i="3"/>
  <c r="J52" i="3"/>
  <c r="J68" i="3"/>
  <c r="J76" i="3"/>
  <c r="J84" i="3"/>
  <c r="J108" i="3"/>
  <c r="J116" i="3"/>
  <c r="J132" i="3"/>
  <c r="J140" i="3"/>
  <c r="J148" i="3"/>
  <c r="J10" i="3"/>
  <c r="J161" i="3"/>
  <c r="J14" i="3"/>
  <c r="J46" i="3"/>
  <c r="J130" i="3"/>
  <c r="J142" i="3"/>
  <c r="J117" i="3"/>
  <c r="J135" i="3"/>
  <c r="J121" i="3"/>
  <c r="J90" i="3"/>
  <c r="J158" i="3"/>
  <c r="J94" i="3"/>
  <c r="F2" i="3"/>
  <c r="K4" i="1"/>
  <c r="J4" i="1"/>
  <c r="I4" i="1"/>
  <c r="L4" i="1"/>
  <c r="G2" i="1"/>
  <c r="J33" i="3" l="1"/>
  <c r="L2" i="3"/>
  <c r="J61" i="3"/>
  <c r="J109" i="3"/>
  <c r="J153" i="3"/>
  <c r="J139" i="3"/>
  <c r="J15" i="3"/>
  <c r="J31" i="3"/>
  <c r="J79" i="3"/>
  <c r="J127" i="3"/>
  <c r="J16" i="3"/>
  <c r="J32" i="3"/>
  <c r="J48" i="3"/>
  <c r="J96" i="3"/>
  <c r="J112" i="3"/>
  <c r="J128" i="3"/>
  <c r="J160" i="3"/>
  <c r="J69" i="3"/>
  <c r="J85" i="3"/>
  <c r="J93" i="3"/>
  <c r="J47" i="3"/>
  <c r="J17" i="3"/>
  <c r="J162" i="3"/>
  <c r="J78" i="3"/>
  <c r="J97" i="3"/>
  <c r="J124" i="3"/>
  <c r="J60" i="3"/>
  <c r="J111" i="3"/>
  <c r="J49" i="3"/>
  <c r="J143" i="3"/>
  <c r="J156" i="3"/>
  <c r="J92" i="3"/>
  <c r="J28" i="3"/>
  <c r="J58" i="3"/>
  <c r="J73" i="3"/>
  <c r="J40" i="3"/>
  <c r="J13" i="3"/>
  <c r="J146" i="3"/>
  <c r="J62" i="3"/>
  <c r="J118" i="3"/>
  <c r="J66" i="3"/>
  <c r="J155" i="3"/>
  <c r="J91" i="3"/>
  <c r="J27" i="3"/>
  <c r="J149" i="3"/>
  <c r="J30" i="3"/>
  <c r="J63" i="3"/>
  <c r="J81" i="3"/>
  <c r="J42" i="3"/>
  <c r="J2" i="3"/>
  <c r="J77" i="3"/>
  <c r="J151" i="3"/>
  <c r="J65" i="3"/>
  <c r="J86" i="3"/>
  <c r="J100" i="3"/>
  <c r="J36" i="3"/>
  <c r="J126" i="3"/>
  <c r="J159" i="3"/>
  <c r="J136" i="3"/>
  <c r="J141" i="3"/>
  <c r="J26" i="3"/>
  <c r="J137" i="3"/>
  <c r="J5" i="3"/>
  <c r="J105" i="3"/>
  <c r="J50" i="3"/>
  <c r="J110" i="3"/>
  <c r="J129" i="3"/>
  <c r="J45" i="3"/>
  <c r="J150" i="3"/>
  <c r="J64" i="3"/>
  <c r="J123" i="3"/>
  <c r="J59" i="3"/>
  <c r="J29" i="3"/>
  <c r="J25" i="3"/>
  <c r="J113" i="3"/>
  <c r="J80" i="3"/>
  <c r="J9" i="3"/>
</calcChain>
</file>

<file path=xl/sharedStrings.xml><?xml version="1.0" encoding="utf-8"?>
<sst xmlns="http://schemas.openxmlformats.org/spreadsheetml/2006/main" count="33" uniqueCount="21">
  <si>
    <t>Extra Coarse</t>
  </si>
  <si>
    <t>Coarse</t>
  </si>
  <si>
    <t>Coarser</t>
  </si>
  <si>
    <t>Average Nusselt Number</t>
  </si>
  <si>
    <t>Normal</t>
  </si>
  <si>
    <t>z</t>
  </si>
  <si>
    <t>Re1000</t>
  </si>
  <si>
    <t>Re2000</t>
  </si>
  <si>
    <t>Nu average</t>
  </si>
  <si>
    <t>Diameter</t>
  </si>
  <si>
    <t>Thermal Efficiency Ratio</t>
  </si>
  <si>
    <t>249684 domain elements, 29586 boundary elements, and 1472 edge elements.</t>
  </si>
  <si>
    <t>131957 domain elements, 19400 boundary elements, and 1196 edge elements.</t>
  </si>
  <si>
    <t>51800 domain elements, 9746 boundary elements, and 816 edge elements.</t>
  </si>
  <si>
    <t>25698 domain elements, 5752 boundary elements, and 644 edge elements.</t>
  </si>
  <si>
    <t>normal</t>
  </si>
  <si>
    <t>coarse</t>
  </si>
  <si>
    <t>coarser</t>
  </si>
  <si>
    <t>extra coarse</t>
  </si>
  <si>
    <t>Re2000 Nano</t>
  </si>
  <si>
    <t>Re1000 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</si>
</sst>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0" fillId="3" borderId="1" xfId="0" applyFill="1" applyBorder="1"/>
    <xf numFmtId="164" fontId="0" fillId="3" borderId="1" xfId="0" applyNumberFormat="1" applyFill="1" applyBorder="1"/>
    <xf numFmtId="0" fontId="0" fillId="3" borderId="2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Mesh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Average Nusselt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Sheet1!$I$2:$L$2</c:f>
              <c:strCache>
                <c:ptCount val="4"/>
                <c:pt idx="0">
                  <c:v>Normal</c:v>
                </c:pt>
                <c:pt idx="1">
                  <c:v>Coarse</c:v>
                </c:pt>
                <c:pt idx="2">
                  <c:v>Coarser</c:v>
                </c:pt>
                <c:pt idx="3">
                  <c:v>Extra Coarse</c:v>
                </c:pt>
              </c:strCache>
            </c:strRef>
          </c:cat>
          <c:val>
            <c:numRef>
              <c:f>Sheet1!$I$3:$L$3</c:f>
              <c:numCache>
                <c:formatCode>General</c:formatCode>
                <c:ptCount val="4"/>
                <c:pt idx="0">
                  <c:v>44.487519480519481</c:v>
                </c:pt>
                <c:pt idx="1">
                  <c:v>41.726098360655755</c:v>
                </c:pt>
                <c:pt idx="2">
                  <c:v>40.217146341463398</c:v>
                </c:pt>
                <c:pt idx="3">
                  <c:v>39.967499999999994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1-41D7-A610-4B6DD884F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808792"/>
        <c:axId val="631810104"/>
      </c:barChart>
      <c:catAx>
        <c:axId val="63180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10104"/>
        <c:crosses val="autoZero"/>
        <c:auto val="1"/>
        <c:lblAlgn val="ctr"/>
        <c:lblOffset val="100"/>
        <c:noMultiLvlLbl val="0"/>
      </c:catAx>
      <c:valAx>
        <c:axId val="631810104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Average Nusselt Number (Nu)</a:t>
                </a:r>
                <a:endParaRPr lang="en-US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08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Water vs. 1% TiO_2 Nano Fluid Thermal Performance (w.r.t. Their Reynolds Number)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12909383394523"/>
          <c:y val="0.17930986051492728"/>
          <c:w val="0.80322474316295489"/>
          <c:h val="0.67277802649250784"/>
        </c:manualLayout>
      </c:layout>
      <c:scatterChart>
        <c:scatterStyle val="lineMarker"/>
        <c:varyColors val="0"/>
        <c:ser>
          <c:idx val="2"/>
          <c:order val="0"/>
          <c:tx>
            <c:v>Water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Sheet2!$A$2:$A$162</c:f>
              <c:numCache>
                <c:formatCode>0</c:formatCode>
                <c:ptCount val="161"/>
                <c:pt idx="0">
                  <c:v>27.2</c:v>
                </c:pt>
                <c:pt idx="1">
                  <c:v>27.881</c:v>
                </c:pt>
                <c:pt idx="2">
                  <c:v>28.013000000000002</c:v>
                </c:pt>
                <c:pt idx="3">
                  <c:v>28.036999999999999</c:v>
                </c:pt>
                <c:pt idx="4">
                  <c:v>28.065999999999999</c:v>
                </c:pt>
                <c:pt idx="5">
                  <c:v>28.091999999999999</c:v>
                </c:pt>
                <c:pt idx="6">
                  <c:v>28.858000000000001</c:v>
                </c:pt>
                <c:pt idx="7">
                  <c:v>28.974</c:v>
                </c:pt>
                <c:pt idx="8">
                  <c:v>29.013999999999999</c:v>
                </c:pt>
                <c:pt idx="9">
                  <c:v>29.308</c:v>
                </c:pt>
                <c:pt idx="10">
                  <c:v>30.478999999999999</c:v>
                </c:pt>
                <c:pt idx="11">
                  <c:v>30.530999999999999</c:v>
                </c:pt>
                <c:pt idx="12">
                  <c:v>30.62</c:v>
                </c:pt>
                <c:pt idx="13">
                  <c:v>30.818000000000001</c:v>
                </c:pt>
                <c:pt idx="14">
                  <c:v>30.84</c:v>
                </c:pt>
                <c:pt idx="15">
                  <c:v>30.933</c:v>
                </c:pt>
                <c:pt idx="16">
                  <c:v>30.994</c:v>
                </c:pt>
                <c:pt idx="17">
                  <c:v>31.850999999999999</c:v>
                </c:pt>
                <c:pt idx="18">
                  <c:v>32.337000000000003</c:v>
                </c:pt>
                <c:pt idx="19">
                  <c:v>32.418999999999997</c:v>
                </c:pt>
                <c:pt idx="20">
                  <c:v>32.622</c:v>
                </c:pt>
                <c:pt idx="21">
                  <c:v>33.311</c:v>
                </c:pt>
                <c:pt idx="22">
                  <c:v>33.384999999999998</c:v>
                </c:pt>
                <c:pt idx="23">
                  <c:v>33.429000000000002</c:v>
                </c:pt>
                <c:pt idx="24">
                  <c:v>33.951000000000001</c:v>
                </c:pt>
                <c:pt idx="25">
                  <c:v>33.975000000000001</c:v>
                </c:pt>
                <c:pt idx="26">
                  <c:v>34.008000000000003</c:v>
                </c:pt>
                <c:pt idx="27">
                  <c:v>34.027000000000001</c:v>
                </c:pt>
                <c:pt idx="28">
                  <c:v>34.247999999999998</c:v>
                </c:pt>
                <c:pt idx="29">
                  <c:v>34.253999999999998</c:v>
                </c:pt>
                <c:pt idx="30">
                  <c:v>34.316000000000003</c:v>
                </c:pt>
                <c:pt idx="31">
                  <c:v>34.726999999999997</c:v>
                </c:pt>
                <c:pt idx="32">
                  <c:v>35.399000000000001</c:v>
                </c:pt>
                <c:pt idx="33">
                  <c:v>35.473999999999997</c:v>
                </c:pt>
                <c:pt idx="34">
                  <c:v>35.966999999999999</c:v>
                </c:pt>
                <c:pt idx="35">
                  <c:v>36.332000000000001</c:v>
                </c:pt>
                <c:pt idx="36">
                  <c:v>36.814999999999998</c:v>
                </c:pt>
                <c:pt idx="37">
                  <c:v>37.125999999999998</c:v>
                </c:pt>
                <c:pt idx="38">
                  <c:v>37.161000000000001</c:v>
                </c:pt>
                <c:pt idx="39">
                  <c:v>37.171999999999997</c:v>
                </c:pt>
                <c:pt idx="40">
                  <c:v>37.301000000000002</c:v>
                </c:pt>
                <c:pt idx="41">
                  <c:v>37.454000000000001</c:v>
                </c:pt>
                <c:pt idx="42">
                  <c:v>37.829000000000001</c:v>
                </c:pt>
                <c:pt idx="43">
                  <c:v>37.883000000000003</c:v>
                </c:pt>
                <c:pt idx="44">
                  <c:v>38.002000000000002</c:v>
                </c:pt>
                <c:pt idx="45">
                  <c:v>38.119</c:v>
                </c:pt>
                <c:pt idx="46">
                  <c:v>38.228000000000002</c:v>
                </c:pt>
                <c:pt idx="47">
                  <c:v>38.308999999999997</c:v>
                </c:pt>
                <c:pt idx="48">
                  <c:v>38.509</c:v>
                </c:pt>
                <c:pt idx="49">
                  <c:v>38.673000000000002</c:v>
                </c:pt>
                <c:pt idx="50">
                  <c:v>39.148000000000003</c:v>
                </c:pt>
                <c:pt idx="51">
                  <c:v>39.18</c:v>
                </c:pt>
                <c:pt idx="52">
                  <c:v>39.183999999999997</c:v>
                </c:pt>
                <c:pt idx="53">
                  <c:v>39.643000000000001</c:v>
                </c:pt>
                <c:pt idx="54">
                  <c:v>40.073999999999998</c:v>
                </c:pt>
                <c:pt idx="55">
                  <c:v>40.274000000000001</c:v>
                </c:pt>
                <c:pt idx="56">
                  <c:v>40.395000000000003</c:v>
                </c:pt>
                <c:pt idx="57">
                  <c:v>40.399000000000001</c:v>
                </c:pt>
                <c:pt idx="58">
                  <c:v>40.612000000000002</c:v>
                </c:pt>
                <c:pt idx="59">
                  <c:v>40.630000000000003</c:v>
                </c:pt>
                <c:pt idx="60">
                  <c:v>40.637</c:v>
                </c:pt>
                <c:pt idx="61">
                  <c:v>41.384999999999998</c:v>
                </c:pt>
                <c:pt idx="62">
                  <c:v>41.743000000000002</c:v>
                </c:pt>
                <c:pt idx="63">
                  <c:v>42.356999999999999</c:v>
                </c:pt>
                <c:pt idx="64">
                  <c:v>42.576000000000001</c:v>
                </c:pt>
                <c:pt idx="65">
                  <c:v>42.756</c:v>
                </c:pt>
                <c:pt idx="66">
                  <c:v>42.822000000000003</c:v>
                </c:pt>
                <c:pt idx="67">
                  <c:v>42.874000000000002</c:v>
                </c:pt>
                <c:pt idx="68">
                  <c:v>43</c:v>
                </c:pt>
                <c:pt idx="69">
                  <c:v>43.374000000000002</c:v>
                </c:pt>
                <c:pt idx="70">
                  <c:v>44.012999999999998</c:v>
                </c:pt>
                <c:pt idx="71">
                  <c:v>44.780999999999999</c:v>
                </c:pt>
                <c:pt idx="72">
                  <c:v>44.896000000000001</c:v>
                </c:pt>
                <c:pt idx="73">
                  <c:v>44.944000000000003</c:v>
                </c:pt>
                <c:pt idx="74">
                  <c:v>44.978000000000002</c:v>
                </c:pt>
                <c:pt idx="75">
                  <c:v>45.024000000000001</c:v>
                </c:pt>
                <c:pt idx="76">
                  <c:v>45.209000000000003</c:v>
                </c:pt>
                <c:pt idx="77">
                  <c:v>45.49</c:v>
                </c:pt>
                <c:pt idx="78">
                  <c:v>45.593000000000004</c:v>
                </c:pt>
                <c:pt idx="79">
                  <c:v>45.853000000000002</c:v>
                </c:pt>
                <c:pt idx="80">
                  <c:v>46.07</c:v>
                </c:pt>
                <c:pt idx="81">
                  <c:v>46.087000000000003</c:v>
                </c:pt>
                <c:pt idx="82">
                  <c:v>46.12</c:v>
                </c:pt>
                <c:pt idx="83">
                  <c:v>47.137999999999998</c:v>
                </c:pt>
                <c:pt idx="84">
                  <c:v>47.194000000000003</c:v>
                </c:pt>
                <c:pt idx="85">
                  <c:v>47.258000000000003</c:v>
                </c:pt>
                <c:pt idx="86">
                  <c:v>47.286999999999999</c:v>
                </c:pt>
                <c:pt idx="87">
                  <c:v>47.301000000000002</c:v>
                </c:pt>
                <c:pt idx="88">
                  <c:v>47.302999999999997</c:v>
                </c:pt>
                <c:pt idx="89">
                  <c:v>47.302999999999997</c:v>
                </c:pt>
                <c:pt idx="90">
                  <c:v>47.302999999999997</c:v>
                </c:pt>
                <c:pt idx="91">
                  <c:v>47.304000000000002</c:v>
                </c:pt>
                <c:pt idx="92">
                  <c:v>47.307000000000002</c:v>
                </c:pt>
                <c:pt idx="93">
                  <c:v>47.307000000000002</c:v>
                </c:pt>
                <c:pt idx="94">
                  <c:v>47.332000000000001</c:v>
                </c:pt>
                <c:pt idx="95">
                  <c:v>48.725999999999999</c:v>
                </c:pt>
                <c:pt idx="96">
                  <c:v>48.847999999999999</c:v>
                </c:pt>
                <c:pt idx="97">
                  <c:v>48.923000000000002</c:v>
                </c:pt>
                <c:pt idx="98">
                  <c:v>48.933</c:v>
                </c:pt>
                <c:pt idx="99">
                  <c:v>49.612000000000002</c:v>
                </c:pt>
                <c:pt idx="100">
                  <c:v>50.185000000000002</c:v>
                </c:pt>
                <c:pt idx="101">
                  <c:v>50.292999999999999</c:v>
                </c:pt>
                <c:pt idx="102">
                  <c:v>50.343000000000004</c:v>
                </c:pt>
                <c:pt idx="103">
                  <c:v>50.482999999999997</c:v>
                </c:pt>
                <c:pt idx="104">
                  <c:v>50.811</c:v>
                </c:pt>
                <c:pt idx="105">
                  <c:v>51.247999999999998</c:v>
                </c:pt>
                <c:pt idx="106">
                  <c:v>51.32</c:v>
                </c:pt>
                <c:pt idx="107">
                  <c:v>52.271999999999998</c:v>
                </c:pt>
                <c:pt idx="108">
                  <c:v>52.326999999999998</c:v>
                </c:pt>
                <c:pt idx="109">
                  <c:v>52.37</c:v>
                </c:pt>
                <c:pt idx="110">
                  <c:v>52.4</c:v>
                </c:pt>
                <c:pt idx="111">
                  <c:v>52.542999999999999</c:v>
                </c:pt>
                <c:pt idx="112">
                  <c:v>52.664000000000001</c:v>
                </c:pt>
                <c:pt idx="113">
                  <c:v>52.686999999999998</c:v>
                </c:pt>
                <c:pt idx="114">
                  <c:v>53.529000000000003</c:v>
                </c:pt>
                <c:pt idx="115">
                  <c:v>53.557000000000002</c:v>
                </c:pt>
                <c:pt idx="116">
                  <c:v>53.863999999999997</c:v>
                </c:pt>
                <c:pt idx="117">
                  <c:v>54.033999999999999</c:v>
                </c:pt>
                <c:pt idx="118">
                  <c:v>54.171999999999997</c:v>
                </c:pt>
                <c:pt idx="119">
                  <c:v>54.225000000000001</c:v>
                </c:pt>
                <c:pt idx="120">
                  <c:v>54.69</c:v>
                </c:pt>
                <c:pt idx="121">
                  <c:v>55.023000000000003</c:v>
                </c:pt>
                <c:pt idx="122">
                  <c:v>55.765000000000001</c:v>
                </c:pt>
                <c:pt idx="123">
                  <c:v>56.09</c:v>
                </c:pt>
                <c:pt idx="124">
                  <c:v>56.115000000000002</c:v>
                </c:pt>
                <c:pt idx="125">
                  <c:v>56.143999999999998</c:v>
                </c:pt>
                <c:pt idx="126">
                  <c:v>56.165999999999997</c:v>
                </c:pt>
                <c:pt idx="127">
                  <c:v>56.183</c:v>
                </c:pt>
                <c:pt idx="128">
                  <c:v>56.197000000000003</c:v>
                </c:pt>
                <c:pt idx="129">
                  <c:v>56.335999999999999</c:v>
                </c:pt>
                <c:pt idx="130">
                  <c:v>56.368000000000002</c:v>
                </c:pt>
                <c:pt idx="131">
                  <c:v>56.789000000000001</c:v>
                </c:pt>
                <c:pt idx="132">
                  <c:v>57.543999999999997</c:v>
                </c:pt>
                <c:pt idx="133">
                  <c:v>57.631999999999998</c:v>
                </c:pt>
                <c:pt idx="134">
                  <c:v>57.798999999999999</c:v>
                </c:pt>
                <c:pt idx="135">
                  <c:v>57.893999999999998</c:v>
                </c:pt>
                <c:pt idx="136">
                  <c:v>58.694000000000003</c:v>
                </c:pt>
                <c:pt idx="137">
                  <c:v>58.837000000000003</c:v>
                </c:pt>
                <c:pt idx="138">
                  <c:v>58.863999999999997</c:v>
                </c:pt>
                <c:pt idx="139">
                  <c:v>59.323999999999998</c:v>
                </c:pt>
                <c:pt idx="140">
                  <c:v>59.44</c:v>
                </c:pt>
                <c:pt idx="141">
                  <c:v>59.576000000000001</c:v>
                </c:pt>
                <c:pt idx="142">
                  <c:v>59.665999999999997</c:v>
                </c:pt>
                <c:pt idx="143">
                  <c:v>59.734999999999999</c:v>
                </c:pt>
                <c:pt idx="144">
                  <c:v>59.975000000000001</c:v>
                </c:pt>
                <c:pt idx="145">
                  <c:v>60.588999999999999</c:v>
                </c:pt>
                <c:pt idx="146">
                  <c:v>60.792000000000002</c:v>
                </c:pt>
                <c:pt idx="147">
                  <c:v>61.42</c:v>
                </c:pt>
                <c:pt idx="148">
                  <c:v>62.029000000000003</c:v>
                </c:pt>
                <c:pt idx="149">
                  <c:v>62.051000000000002</c:v>
                </c:pt>
                <c:pt idx="150">
                  <c:v>62.133000000000003</c:v>
                </c:pt>
                <c:pt idx="151">
                  <c:v>62.143999999999998</c:v>
                </c:pt>
                <c:pt idx="152">
                  <c:v>62.148000000000003</c:v>
                </c:pt>
                <c:pt idx="153">
                  <c:v>62.281999999999996</c:v>
                </c:pt>
                <c:pt idx="154">
                  <c:v>62.320999999999998</c:v>
                </c:pt>
                <c:pt idx="155">
                  <c:v>63.249000000000002</c:v>
                </c:pt>
                <c:pt idx="156">
                  <c:v>63.356999999999999</c:v>
                </c:pt>
                <c:pt idx="157">
                  <c:v>63.472000000000001</c:v>
                </c:pt>
                <c:pt idx="158">
                  <c:v>63.529000000000003</c:v>
                </c:pt>
                <c:pt idx="159">
                  <c:v>63.828000000000003</c:v>
                </c:pt>
                <c:pt idx="160">
                  <c:v>64.599999999999994</c:v>
                </c:pt>
              </c:numCache>
            </c:numRef>
          </c:xVal>
          <c:yVal>
            <c:numRef>
              <c:f>Sheet2!$J$2:$J$162</c:f>
              <c:numCache>
                <c:formatCode>0.000</c:formatCode>
                <c:ptCount val="161"/>
                <c:pt idx="0">
                  <c:v>3.7632355209662105</c:v>
                </c:pt>
                <c:pt idx="1">
                  <c:v>3.750913449132014</c:v>
                </c:pt>
                <c:pt idx="2">
                  <c:v>3.7486384879643868</c:v>
                </c:pt>
                <c:pt idx="3">
                  <c:v>3.7483546339874381</c:v>
                </c:pt>
                <c:pt idx="4">
                  <c:v>3.7480546958947603</c:v>
                </c:pt>
                <c:pt idx="5">
                  <c:v>3.7478657843348313</c:v>
                </c:pt>
                <c:pt idx="6">
                  <c:v>3.7483845739021806</c:v>
                </c:pt>
                <c:pt idx="7">
                  <c:v>3.7486332215483364</c:v>
                </c:pt>
                <c:pt idx="8">
                  <c:v>3.7487291725583693</c:v>
                </c:pt>
                <c:pt idx="9">
                  <c:v>3.7471471734320358</c:v>
                </c:pt>
                <c:pt idx="10">
                  <c:v>3.7312430613555061</c:v>
                </c:pt>
                <c:pt idx="11">
                  <c:v>3.731130201207753</c:v>
                </c:pt>
                <c:pt idx="12">
                  <c:v>3.7304768169708065</c:v>
                </c:pt>
                <c:pt idx="13">
                  <c:v>3.7297148767007422</c:v>
                </c:pt>
                <c:pt idx="14">
                  <c:v>3.7299880868222082</c:v>
                </c:pt>
                <c:pt idx="15">
                  <c:v>3.7298187843345532</c:v>
                </c:pt>
                <c:pt idx="16">
                  <c:v>3.7288048237776623</c:v>
                </c:pt>
                <c:pt idx="17">
                  <c:v>3.7250272237456472</c:v>
                </c:pt>
                <c:pt idx="18">
                  <c:v>3.7228178294176395</c:v>
                </c:pt>
                <c:pt idx="19">
                  <c:v>3.7223497215560748</c:v>
                </c:pt>
                <c:pt idx="20">
                  <c:v>3.7199226711857292</c:v>
                </c:pt>
                <c:pt idx="21">
                  <c:v>3.7198820594721003</c:v>
                </c:pt>
                <c:pt idx="22">
                  <c:v>3.7195072572418093</c:v>
                </c:pt>
                <c:pt idx="23">
                  <c:v>3.7191539870140629</c:v>
                </c:pt>
                <c:pt idx="24">
                  <c:v>3.707802891236514</c:v>
                </c:pt>
                <c:pt idx="25">
                  <c:v>3.7072779074317759</c:v>
                </c:pt>
                <c:pt idx="26">
                  <c:v>3.7067949764324841</c:v>
                </c:pt>
                <c:pt idx="27">
                  <c:v>3.7068406644837641</c:v>
                </c:pt>
                <c:pt idx="28">
                  <c:v>3.7057990572395854</c:v>
                </c:pt>
                <c:pt idx="29">
                  <c:v>3.7054441721419198</c:v>
                </c:pt>
                <c:pt idx="30">
                  <c:v>3.7052627947755186</c:v>
                </c:pt>
                <c:pt idx="31">
                  <c:v>3.7035843247619309</c:v>
                </c:pt>
                <c:pt idx="32">
                  <c:v>3.6987727205182268</c:v>
                </c:pt>
                <c:pt idx="33">
                  <c:v>3.6986146711129164</c:v>
                </c:pt>
                <c:pt idx="34">
                  <c:v>3.7004827677487073</c:v>
                </c:pt>
                <c:pt idx="35">
                  <c:v>3.6959484704964138</c:v>
                </c:pt>
                <c:pt idx="36">
                  <c:v>3.6905042849222101</c:v>
                </c:pt>
                <c:pt idx="37">
                  <c:v>3.6872644294861301</c:v>
                </c:pt>
                <c:pt idx="38">
                  <c:v>3.6871386914571822</c:v>
                </c:pt>
                <c:pt idx="39">
                  <c:v>3.6870356757360296</c:v>
                </c:pt>
                <c:pt idx="40">
                  <c:v>3.6853545525336613</c:v>
                </c:pt>
                <c:pt idx="41">
                  <c:v>3.6843828926764122</c:v>
                </c:pt>
                <c:pt idx="42">
                  <c:v>3.6819234043977271</c:v>
                </c:pt>
                <c:pt idx="43">
                  <c:v>3.6815545345576624</c:v>
                </c:pt>
                <c:pt idx="44">
                  <c:v>3.6808169545844933</c:v>
                </c:pt>
                <c:pt idx="45">
                  <c:v>3.6811294262171859</c:v>
                </c:pt>
                <c:pt idx="46">
                  <c:v>3.679899233801132</c:v>
                </c:pt>
                <c:pt idx="47">
                  <c:v>3.6795155280919647</c:v>
                </c:pt>
                <c:pt idx="48">
                  <c:v>3.6786895023209789</c:v>
                </c:pt>
                <c:pt idx="49">
                  <c:v>3.6794710179585497</c:v>
                </c:pt>
                <c:pt idx="50">
                  <c:v>3.6826510021039134</c:v>
                </c:pt>
                <c:pt idx="51">
                  <c:v>3.6829799526641342</c:v>
                </c:pt>
                <c:pt idx="52">
                  <c:v>3.6830817430558391</c:v>
                </c:pt>
                <c:pt idx="53">
                  <c:v>3.6761630853821727</c:v>
                </c:pt>
                <c:pt idx="54">
                  <c:v>3.6694447663383687</c:v>
                </c:pt>
                <c:pt idx="55">
                  <c:v>3.6698665482154773</c:v>
                </c:pt>
                <c:pt idx="56">
                  <c:v>3.668346553155228</c:v>
                </c:pt>
                <c:pt idx="57">
                  <c:v>3.6683907720656177</c:v>
                </c:pt>
                <c:pt idx="58">
                  <c:v>3.6650467920107346</c:v>
                </c:pt>
                <c:pt idx="59">
                  <c:v>3.6647399565925274</c:v>
                </c:pt>
                <c:pt idx="60">
                  <c:v>3.664726804934888</c:v>
                </c:pt>
                <c:pt idx="61">
                  <c:v>3.6724621002880071</c:v>
                </c:pt>
                <c:pt idx="62">
                  <c:v>3.6706247540651611</c:v>
                </c:pt>
                <c:pt idx="63">
                  <c:v>3.6605914636466381</c:v>
                </c:pt>
                <c:pt idx="64">
                  <c:v>3.6584252660416325</c:v>
                </c:pt>
                <c:pt idx="65">
                  <c:v>3.6566629584177419</c:v>
                </c:pt>
                <c:pt idx="66">
                  <c:v>3.6564490372711722</c:v>
                </c:pt>
                <c:pt idx="67">
                  <c:v>3.6561341561037546</c:v>
                </c:pt>
                <c:pt idx="68">
                  <c:v>3.6558288109911365</c:v>
                </c:pt>
                <c:pt idx="69">
                  <c:v>3.6552929661204208</c:v>
                </c:pt>
                <c:pt idx="70">
                  <c:v>3.6594405002486239</c:v>
                </c:pt>
                <c:pt idx="71">
                  <c:v>3.6493751186832193</c:v>
                </c:pt>
                <c:pt idx="72">
                  <c:v>3.6477974918221561</c:v>
                </c:pt>
                <c:pt idx="73">
                  <c:v>3.6477213406676876</c:v>
                </c:pt>
                <c:pt idx="74">
                  <c:v>3.6482233908787394</c:v>
                </c:pt>
                <c:pt idx="75">
                  <c:v>3.648102517874988</c:v>
                </c:pt>
                <c:pt idx="76">
                  <c:v>3.6478058625619321</c:v>
                </c:pt>
                <c:pt idx="77">
                  <c:v>3.6477013625079522</c:v>
                </c:pt>
                <c:pt idx="78">
                  <c:v>3.6476596440189692</c:v>
                </c:pt>
                <c:pt idx="79">
                  <c:v>3.6490508169207794</c:v>
                </c:pt>
                <c:pt idx="80">
                  <c:v>3.6505660108558584</c:v>
                </c:pt>
                <c:pt idx="81">
                  <c:v>3.6503571163716897</c:v>
                </c:pt>
                <c:pt idx="82">
                  <c:v>3.6503571163716901</c:v>
                </c:pt>
                <c:pt idx="83">
                  <c:v>3.6479537880130914</c:v>
                </c:pt>
                <c:pt idx="84">
                  <c:v>3.6478445124870498</c:v>
                </c:pt>
                <c:pt idx="85">
                  <c:v>3.647636399188789</c:v>
                </c:pt>
                <c:pt idx="86">
                  <c:v>3.6477795170636464</c:v>
                </c:pt>
                <c:pt idx="87">
                  <c:v>3.647626052138869</c:v>
                </c:pt>
                <c:pt idx="88">
                  <c:v>3.6476260521388686</c:v>
                </c:pt>
                <c:pt idx="89">
                  <c:v>3.6476260521388686</c:v>
                </c:pt>
                <c:pt idx="90">
                  <c:v>3.6476260521388686</c:v>
                </c:pt>
                <c:pt idx="91">
                  <c:v>3.6476260521388681</c:v>
                </c:pt>
                <c:pt idx="92">
                  <c:v>3.6477249064723778</c:v>
                </c:pt>
                <c:pt idx="93">
                  <c:v>3.6477249064723778</c:v>
                </c:pt>
                <c:pt idx="94">
                  <c:v>3.6474726084431572</c:v>
                </c:pt>
                <c:pt idx="95">
                  <c:v>3.6461671144690628</c:v>
                </c:pt>
                <c:pt idx="96">
                  <c:v>3.6442700883867336</c:v>
                </c:pt>
                <c:pt idx="97">
                  <c:v>3.6445012509395727</c:v>
                </c:pt>
                <c:pt idx="98">
                  <c:v>3.6443487826566141</c:v>
                </c:pt>
                <c:pt idx="99">
                  <c:v>3.6380544610105057</c:v>
                </c:pt>
                <c:pt idx="100">
                  <c:v>3.6358059732330124</c:v>
                </c:pt>
                <c:pt idx="101">
                  <c:v>3.6346856238108023</c:v>
                </c:pt>
                <c:pt idx="102">
                  <c:v>3.6342914062811045</c:v>
                </c:pt>
                <c:pt idx="103">
                  <c:v>3.6328544750880458</c:v>
                </c:pt>
                <c:pt idx="104">
                  <c:v>3.6365716190881519</c:v>
                </c:pt>
                <c:pt idx="105">
                  <c:v>3.6436461836875367</c:v>
                </c:pt>
                <c:pt idx="106">
                  <c:v>3.6446843827368336</c:v>
                </c:pt>
                <c:pt idx="107">
                  <c:v>3.6314508948772555</c:v>
                </c:pt>
                <c:pt idx="108">
                  <c:v>3.6318024893768279</c:v>
                </c:pt>
                <c:pt idx="109">
                  <c:v>3.6313737939401087</c:v>
                </c:pt>
                <c:pt idx="110">
                  <c:v>3.6314107303034908</c:v>
                </c:pt>
                <c:pt idx="111">
                  <c:v>3.6310349230322889</c:v>
                </c:pt>
                <c:pt idx="112">
                  <c:v>3.6306351332621358</c:v>
                </c:pt>
                <c:pt idx="113">
                  <c:v>3.6308680850606398</c:v>
                </c:pt>
                <c:pt idx="114">
                  <c:v>3.6380333349500442</c:v>
                </c:pt>
                <c:pt idx="115">
                  <c:v>3.6380775103217218</c:v>
                </c:pt>
                <c:pt idx="116">
                  <c:v>3.6379801579373794</c:v>
                </c:pt>
                <c:pt idx="117">
                  <c:v>3.6375032111238981</c:v>
                </c:pt>
                <c:pt idx="118">
                  <c:v>3.6367077382555757</c:v>
                </c:pt>
                <c:pt idx="119">
                  <c:v>3.6362303263155193</c:v>
                </c:pt>
                <c:pt idx="120">
                  <c:v>3.6377064972976303</c:v>
                </c:pt>
                <c:pt idx="121">
                  <c:v>3.6398804404623868</c:v>
                </c:pt>
                <c:pt idx="122">
                  <c:v>3.6257719424239858</c:v>
                </c:pt>
                <c:pt idx="123">
                  <c:v>3.6197149904102441</c:v>
                </c:pt>
                <c:pt idx="124">
                  <c:v>3.619472788836728</c:v>
                </c:pt>
                <c:pt idx="125">
                  <c:v>3.6193746203314694</c:v>
                </c:pt>
                <c:pt idx="126">
                  <c:v>3.6198525463039815</c:v>
                </c:pt>
                <c:pt idx="127">
                  <c:v>3.6199377514330275</c:v>
                </c:pt>
                <c:pt idx="128">
                  <c:v>3.6197021160734821</c:v>
                </c:pt>
                <c:pt idx="129">
                  <c:v>3.6184054542252873</c:v>
                </c:pt>
                <c:pt idx="130">
                  <c:v>3.6177702705214725</c:v>
                </c:pt>
                <c:pt idx="131">
                  <c:v>3.617282555682571</c:v>
                </c:pt>
                <c:pt idx="132">
                  <c:v>3.620942461433116</c:v>
                </c:pt>
                <c:pt idx="133">
                  <c:v>3.619986118534618</c:v>
                </c:pt>
                <c:pt idx="134">
                  <c:v>3.6186715766676687</c:v>
                </c:pt>
                <c:pt idx="135">
                  <c:v>3.6189329324126902</c:v>
                </c:pt>
                <c:pt idx="136">
                  <c:v>3.6047475130481321</c:v>
                </c:pt>
                <c:pt idx="137">
                  <c:v>3.6037231073282765</c:v>
                </c:pt>
                <c:pt idx="138">
                  <c:v>3.6033303523713451</c:v>
                </c:pt>
                <c:pt idx="139">
                  <c:v>3.6067115680029831</c:v>
                </c:pt>
                <c:pt idx="140">
                  <c:v>3.6070791341438158</c:v>
                </c:pt>
                <c:pt idx="141">
                  <c:v>3.6092560585247964</c:v>
                </c:pt>
                <c:pt idx="142">
                  <c:v>3.6081053972240702</c:v>
                </c:pt>
                <c:pt idx="143">
                  <c:v>3.6069070056171344</c:v>
                </c:pt>
                <c:pt idx="144">
                  <c:v>3.6048456479915072</c:v>
                </c:pt>
                <c:pt idx="145">
                  <c:v>3.6110554907171508</c:v>
                </c:pt>
                <c:pt idx="146">
                  <c:v>3.614162988041508</c:v>
                </c:pt>
                <c:pt idx="147">
                  <c:v>3.6123361491322221</c:v>
                </c:pt>
                <c:pt idx="148">
                  <c:v>3.6090566169187785</c:v>
                </c:pt>
                <c:pt idx="149">
                  <c:v>3.6090516972247046</c:v>
                </c:pt>
                <c:pt idx="150">
                  <c:v>3.6092310169224748</c:v>
                </c:pt>
                <c:pt idx="151">
                  <c:v>3.6094661454232289</c:v>
                </c:pt>
                <c:pt idx="152">
                  <c:v>3.6095121639647143</c:v>
                </c:pt>
                <c:pt idx="153">
                  <c:v>3.6069854587210313</c:v>
                </c:pt>
                <c:pt idx="154">
                  <c:v>3.6064163442627515</c:v>
                </c:pt>
                <c:pt idx="155">
                  <c:v>3.5983734947878512</c:v>
                </c:pt>
                <c:pt idx="156">
                  <c:v>3.5977888212165161</c:v>
                </c:pt>
                <c:pt idx="157">
                  <c:v>3.5961952995210136</c:v>
                </c:pt>
                <c:pt idx="158">
                  <c:v>3.5950403790808143</c:v>
                </c:pt>
                <c:pt idx="159">
                  <c:v>3.5955978468784866</c:v>
                </c:pt>
                <c:pt idx="160">
                  <c:v>3.6054438824044519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59-4CF7-AF3F-9FF49099F055}"/>
            </c:ext>
          </c:extLst>
        </c:ser>
        <c:ser>
          <c:idx val="0"/>
          <c:order val="1"/>
          <c:tx>
            <c:v>1% TiO2 Nano Fluid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Sheet2!$A$2:$A$162</c:f>
              <c:numCache>
                <c:formatCode>0</c:formatCode>
                <c:ptCount val="161"/>
                <c:pt idx="0">
                  <c:v>27.2</c:v>
                </c:pt>
                <c:pt idx="1">
                  <c:v>27.881</c:v>
                </c:pt>
                <c:pt idx="2">
                  <c:v>28.013000000000002</c:v>
                </c:pt>
                <c:pt idx="3">
                  <c:v>28.036999999999999</c:v>
                </c:pt>
                <c:pt idx="4">
                  <c:v>28.065999999999999</c:v>
                </c:pt>
                <c:pt idx="5">
                  <c:v>28.091999999999999</c:v>
                </c:pt>
                <c:pt idx="6">
                  <c:v>28.858000000000001</c:v>
                </c:pt>
                <c:pt idx="7">
                  <c:v>28.974</c:v>
                </c:pt>
                <c:pt idx="8">
                  <c:v>29.013999999999999</c:v>
                </c:pt>
                <c:pt idx="9">
                  <c:v>29.308</c:v>
                </c:pt>
                <c:pt idx="10">
                  <c:v>30.478999999999999</c:v>
                </c:pt>
                <c:pt idx="11">
                  <c:v>30.530999999999999</c:v>
                </c:pt>
                <c:pt idx="12">
                  <c:v>30.62</c:v>
                </c:pt>
                <c:pt idx="13">
                  <c:v>30.818000000000001</c:v>
                </c:pt>
                <c:pt idx="14">
                  <c:v>30.84</c:v>
                </c:pt>
                <c:pt idx="15">
                  <c:v>30.933</c:v>
                </c:pt>
                <c:pt idx="16">
                  <c:v>30.994</c:v>
                </c:pt>
                <c:pt idx="17">
                  <c:v>31.850999999999999</c:v>
                </c:pt>
                <c:pt idx="18">
                  <c:v>32.337000000000003</c:v>
                </c:pt>
                <c:pt idx="19">
                  <c:v>32.418999999999997</c:v>
                </c:pt>
                <c:pt idx="20">
                  <c:v>32.622</c:v>
                </c:pt>
                <c:pt idx="21">
                  <c:v>33.311</c:v>
                </c:pt>
                <c:pt idx="22">
                  <c:v>33.384999999999998</c:v>
                </c:pt>
                <c:pt idx="23">
                  <c:v>33.429000000000002</c:v>
                </c:pt>
                <c:pt idx="24">
                  <c:v>33.951000000000001</c:v>
                </c:pt>
                <c:pt idx="25">
                  <c:v>33.975000000000001</c:v>
                </c:pt>
                <c:pt idx="26">
                  <c:v>34.008000000000003</c:v>
                </c:pt>
                <c:pt idx="27">
                  <c:v>34.027000000000001</c:v>
                </c:pt>
                <c:pt idx="28">
                  <c:v>34.247999999999998</c:v>
                </c:pt>
                <c:pt idx="29">
                  <c:v>34.253999999999998</c:v>
                </c:pt>
                <c:pt idx="30">
                  <c:v>34.316000000000003</c:v>
                </c:pt>
                <c:pt idx="31">
                  <c:v>34.726999999999997</c:v>
                </c:pt>
                <c:pt idx="32">
                  <c:v>35.399000000000001</c:v>
                </c:pt>
                <c:pt idx="33">
                  <c:v>35.473999999999997</c:v>
                </c:pt>
                <c:pt idx="34">
                  <c:v>35.966999999999999</c:v>
                </c:pt>
                <c:pt idx="35">
                  <c:v>36.332000000000001</c:v>
                </c:pt>
                <c:pt idx="36">
                  <c:v>36.814999999999998</c:v>
                </c:pt>
                <c:pt idx="37">
                  <c:v>37.125999999999998</c:v>
                </c:pt>
                <c:pt idx="38">
                  <c:v>37.161000000000001</c:v>
                </c:pt>
                <c:pt idx="39">
                  <c:v>37.171999999999997</c:v>
                </c:pt>
                <c:pt idx="40">
                  <c:v>37.301000000000002</c:v>
                </c:pt>
                <c:pt idx="41">
                  <c:v>37.454000000000001</c:v>
                </c:pt>
                <c:pt idx="42">
                  <c:v>37.829000000000001</c:v>
                </c:pt>
                <c:pt idx="43">
                  <c:v>37.883000000000003</c:v>
                </c:pt>
                <c:pt idx="44">
                  <c:v>38.002000000000002</c:v>
                </c:pt>
                <c:pt idx="45">
                  <c:v>38.119</c:v>
                </c:pt>
                <c:pt idx="46">
                  <c:v>38.228000000000002</c:v>
                </c:pt>
                <c:pt idx="47">
                  <c:v>38.308999999999997</c:v>
                </c:pt>
                <c:pt idx="48">
                  <c:v>38.509</c:v>
                </c:pt>
                <c:pt idx="49">
                  <c:v>38.673000000000002</c:v>
                </c:pt>
                <c:pt idx="50">
                  <c:v>39.148000000000003</c:v>
                </c:pt>
                <c:pt idx="51">
                  <c:v>39.18</c:v>
                </c:pt>
                <c:pt idx="52">
                  <c:v>39.183999999999997</c:v>
                </c:pt>
                <c:pt idx="53">
                  <c:v>39.643000000000001</c:v>
                </c:pt>
                <c:pt idx="54">
                  <c:v>40.073999999999998</c:v>
                </c:pt>
                <c:pt idx="55">
                  <c:v>40.274000000000001</c:v>
                </c:pt>
                <c:pt idx="56">
                  <c:v>40.395000000000003</c:v>
                </c:pt>
                <c:pt idx="57">
                  <c:v>40.399000000000001</c:v>
                </c:pt>
                <c:pt idx="58">
                  <c:v>40.612000000000002</c:v>
                </c:pt>
                <c:pt idx="59">
                  <c:v>40.630000000000003</c:v>
                </c:pt>
                <c:pt idx="60">
                  <c:v>40.637</c:v>
                </c:pt>
                <c:pt idx="61">
                  <c:v>41.384999999999998</c:v>
                </c:pt>
                <c:pt idx="62">
                  <c:v>41.743000000000002</c:v>
                </c:pt>
                <c:pt idx="63">
                  <c:v>42.356999999999999</c:v>
                </c:pt>
                <c:pt idx="64">
                  <c:v>42.576000000000001</c:v>
                </c:pt>
                <c:pt idx="65">
                  <c:v>42.756</c:v>
                </c:pt>
                <c:pt idx="66">
                  <c:v>42.822000000000003</c:v>
                </c:pt>
                <c:pt idx="67">
                  <c:v>42.874000000000002</c:v>
                </c:pt>
                <c:pt idx="68">
                  <c:v>43</c:v>
                </c:pt>
                <c:pt idx="69">
                  <c:v>43.374000000000002</c:v>
                </c:pt>
                <c:pt idx="70">
                  <c:v>44.012999999999998</c:v>
                </c:pt>
                <c:pt idx="71">
                  <c:v>44.780999999999999</c:v>
                </c:pt>
                <c:pt idx="72">
                  <c:v>44.896000000000001</c:v>
                </c:pt>
                <c:pt idx="73">
                  <c:v>44.944000000000003</c:v>
                </c:pt>
                <c:pt idx="74">
                  <c:v>44.978000000000002</c:v>
                </c:pt>
                <c:pt idx="75">
                  <c:v>45.024000000000001</c:v>
                </c:pt>
                <c:pt idx="76">
                  <c:v>45.209000000000003</c:v>
                </c:pt>
                <c:pt idx="77">
                  <c:v>45.49</c:v>
                </c:pt>
                <c:pt idx="78">
                  <c:v>45.593000000000004</c:v>
                </c:pt>
                <c:pt idx="79">
                  <c:v>45.853000000000002</c:v>
                </c:pt>
                <c:pt idx="80">
                  <c:v>46.07</c:v>
                </c:pt>
                <c:pt idx="81">
                  <c:v>46.087000000000003</c:v>
                </c:pt>
                <c:pt idx="82">
                  <c:v>46.12</c:v>
                </c:pt>
                <c:pt idx="83">
                  <c:v>47.137999999999998</c:v>
                </c:pt>
                <c:pt idx="84">
                  <c:v>47.194000000000003</c:v>
                </c:pt>
                <c:pt idx="85">
                  <c:v>47.258000000000003</c:v>
                </c:pt>
                <c:pt idx="86">
                  <c:v>47.286999999999999</c:v>
                </c:pt>
                <c:pt idx="87">
                  <c:v>47.301000000000002</c:v>
                </c:pt>
                <c:pt idx="88">
                  <c:v>47.302999999999997</c:v>
                </c:pt>
                <c:pt idx="89">
                  <c:v>47.302999999999997</c:v>
                </c:pt>
                <c:pt idx="90">
                  <c:v>47.302999999999997</c:v>
                </c:pt>
                <c:pt idx="91">
                  <c:v>47.304000000000002</c:v>
                </c:pt>
                <c:pt idx="92">
                  <c:v>47.307000000000002</c:v>
                </c:pt>
                <c:pt idx="93">
                  <c:v>47.307000000000002</c:v>
                </c:pt>
                <c:pt idx="94">
                  <c:v>47.332000000000001</c:v>
                </c:pt>
                <c:pt idx="95">
                  <c:v>48.725999999999999</c:v>
                </c:pt>
                <c:pt idx="96">
                  <c:v>48.847999999999999</c:v>
                </c:pt>
                <c:pt idx="97">
                  <c:v>48.923000000000002</c:v>
                </c:pt>
                <c:pt idx="98">
                  <c:v>48.933</c:v>
                </c:pt>
                <c:pt idx="99">
                  <c:v>49.612000000000002</c:v>
                </c:pt>
                <c:pt idx="100">
                  <c:v>50.185000000000002</c:v>
                </c:pt>
                <c:pt idx="101">
                  <c:v>50.292999999999999</c:v>
                </c:pt>
                <c:pt idx="102">
                  <c:v>50.343000000000004</c:v>
                </c:pt>
                <c:pt idx="103">
                  <c:v>50.482999999999997</c:v>
                </c:pt>
                <c:pt idx="104">
                  <c:v>50.811</c:v>
                </c:pt>
                <c:pt idx="105">
                  <c:v>51.247999999999998</c:v>
                </c:pt>
                <c:pt idx="106">
                  <c:v>51.32</c:v>
                </c:pt>
                <c:pt idx="107">
                  <c:v>52.271999999999998</c:v>
                </c:pt>
                <c:pt idx="108">
                  <c:v>52.326999999999998</c:v>
                </c:pt>
                <c:pt idx="109">
                  <c:v>52.37</c:v>
                </c:pt>
                <c:pt idx="110">
                  <c:v>52.4</c:v>
                </c:pt>
                <c:pt idx="111">
                  <c:v>52.542999999999999</c:v>
                </c:pt>
                <c:pt idx="112">
                  <c:v>52.664000000000001</c:v>
                </c:pt>
                <c:pt idx="113">
                  <c:v>52.686999999999998</c:v>
                </c:pt>
                <c:pt idx="114">
                  <c:v>53.529000000000003</c:v>
                </c:pt>
                <c:pt idx="115">
                  <c:v>53.557000000000002</c:v>
                </c:pt>
                <c:pt idx="116">
                  <c:v>53.863999999999997</c:v>
                </c:pt>
                <c:pt idx="117">
                  <c:v>54.033999999999999</c:v>
                </c:pt>
                <c:pt idx="118">
                  <c:v>54.171999999999997</c:v>
                </c:pt>
                <c:pt idx="119">
                  <c:v>54.225000000000001</c:v>
                </c:pt>
                <c:pt idx="120">
                  <c:v>54.69</c:v>
                </c:pt>
                <c:pt idx="121">
                  <c:v>55.023000000000003</c:v>
                </c:pt>
                <c:pt idx="122">
                  <c:v>55.765000000000001</c:v>
                </c:pt>
                <c:pt idx="123">
                  <c:v>56.09</c:v>
                </c:pt>
                <c:pt idx="124">
                  <c:v>56.115000000000002</c:v>
                </c:pt>
                <c:pt idx="125">
                  <c:v>56.143999999999998</c:v>
                </c:pt>
                <c:pt idx="126">
                  <c:v>56.165999999999997</c:v>
                </c:pt>
                <c:pt idx="127">
                  <c:v>56.183</c:v>
                </c:pt>
                <c:pt idx="128">
                  <c:v>56.197000000000003</c:v>
                </c:pt>
                <c:pt idx="129">
                  <c:v>56.335999999999999</c:v>
                </c:pt>
                <c:pt idx="130">
                  <c:v>56.368000000000002</c:v>
                </c:pt>
                <c:pt idx="131">
                  <c:v>56.789000000000001</c:v>
                </c:pt>
                <c:pt idx="132">
                  <c:v>57.543999999999997</c:v>
                </c:pt>
                <c:pt idx="133">
                  <c:v>57.631999999999998</c:v>
                </c:pt>
                <c:pt idx="134">
                  <c:v>57.798999999999999</c:v>
                </c:pt>
                <c:pt idx="135">
                  <c:v>57.893999999999998</c:v>
                </c:pt>
                <c:pt idx="136">
                  <c:v>58.694000000000003</c:v>
                </c:pt>
                <c:pt idx="137">
                  <c:v>58.837000000000003</c:v>
                </c:pt>
                <c:pt idx="138">
                  <c:v>58.863999999999997</c:v>
                </c:pt>
                <c:pt idx="139">
                  <c:v>59.323999999999998</c:v>
                </c:pt>
                <c:pt idx="140">
                  <c:v>59.44</c:v>
                </c:pt>
                <c:pt idx="141">
                  <c:v>59.576000000000001</c:v>
                </c:pt>
                <c:pt idx="142">
                  <c:v>59.665999999999997</c:v>
                </c:pt>
                <c:pt idx="143">
                  <c:v>59.734999999999999</c:v>
                </c:pt>
                <c:pt idx="144">
                  <c:v>59.975000000000001</c:v>
                </c:pt>
                <c:pt idx="145">
                  <c:v>60.588999999999999</c:v>
                </c:pt>
                <c:pt idx="146">
                  <c:v>60.792000000000002</c:v>
                </c:pt>
                <c:pt idx="147">
                  <c:v>61.42</c:v>
                </c:pt>
                <c:pt idx="148">
                  <c:v>62.029000000000003</c:v>
                </c:pt>
                <c:pt idx="149">
                  <c:v>62.051000000000002</c:v>
                </c:pt>
                <c:pt idx="150">
                  <c:v>62.133000000000003</c:v>
                </c:pt>
                <c:pt idx="151">
                  <c:v>62.143999999999998</c:v>
                </c:pt>
                <c:pt idx="152">
                  <c:v>62.148000000000003</c:v>
                </c:pt>
                <c:pt idx="153">
                  <c:v>62.281999999999996</c:v>
                </c:pt>
                <c:pt idx="154">
                  <c:v>62.320999999999998</c:v>
                </c:pt>
                <c:pt idx="155">
                  <c:v>63.249000000000002</c:v>
                </c:pt>
                <c:pt idx="156">
                  <c:v>63.356999999999999</c:v>
                </c:pt>
                <c:pt idx="157">
                  <c:v>63.472000000000001</c:v>
                </c:pt>
                <c:pt idx="158">
                  <c:v>63.529000000000003</c:v>
                </c:pt>
                <c:pt idx="159">
                  <c:v>63.828000000000003</c:v>
                </c:pt>
                <c:pt idx="160">
                  <c:v>64.599999999999994</c:v>
                </c:pt>
              </c:numCache>
            </c:numRef>
          </c:xVal>
          <c:yVal>
            <c:numRef>
              <c:f>Sheet2!$K$2:$K$162</c:f>
              <c:numCache>
                <c:formatCode>General</c:formatCode>
                <c:ptCount val="161"/>
                <c:pt idx="0">
                  <c:v>3.529197387133332</c:v>
                </c:pt>
                <c:pt idx="1">
                  <c:v>3.5176071438193368</c:v>
                </c:pt>
                <c:pt idx="2">
                  <c:v>3.5154210679276225</c:v>
                </c:pt>
                <c:pt idx="3">
                  <c:v>3.5153927335239197</c:v>
                </c:pt>
                <c:pt idx="4">
                  <c:v>3.5148389138339886</c:v>
                </c:pt>
                <c:pt idx="5">
                  <c:v>3.5146365646727031</c:v>
                </c:pt>
                <c:pt idx="6">
                  <c:v>3.5154031940193233</c:v>
                </c:pt>
                <c:pt idx="7">
                  <c:v>3.5155668080054272</c:v>
                </c:pt>
                <c:pt idx="8">
                  <c:v>3.5156103681376059</c:v>
                </c:pt>
                <c:pt idx="9">
                  <c:v>3.5140958338273971</c:v>
                </c:pt>
                <c:pt idx="10">
                  <c:v>3.4994429839083203</c:v>
                </c:pt>
                <c:pt idx="11">
                  <c:v>3.4992151029726397</c:v>
                </c:pt>
                <c:pt idx="12">
                  <c:v>3.4985561377138499</c:v>
                </c:pt>
                <c:pt idx="13">
                  <c:v>3.4979784742398063</c:v>
                </c:pt>
                <c:pt idx="14">
                  <c:v>3.4981223305517579</c:v>
                </c:pt>
                <c:pt idx="15">
                  <c:v>3.498058490221629</c:v>
                </c:pt>
                <c:pt idx="16">
                  <c:v>3.4972275270464905</c:v>
                </c:pt>
                <c:pt idx="17">
                  <c:v>3.4935032524318865</c:v>
                </c:pt>
                <c:pt idx="18">
                  <c:v>3.4916266445032296</c:v>
                </c:pt>
                <c:pt idx="19">
                  <c:v>3.4911482235584241</c:v>
                </c:pt>
                <c:pt idx="20">
                  <c:v>3.4887829023920629</c:v>
                </c:pt>
                <c:pt idx="21">
                  <c:v>3.4887942780571879</c:v>
                </c:pt>
                <c:pt idx="22">
                  <c:v>3.4884160164357207</c:v>
                </c:pt>
                <c:pt idx="23">
                  <c:v>3.4880654025070177</c:v>
                </c:pt>
                <c:pt idx="24">
                  <c:v>3.4776423685951405</c:v>
                </c:pt>
                <c:pt idx="25">
                  <c:v>3.47689898459479</c:v>
                </c:pt>
                <c:pt idx="26">
                  <c:v>3.4764534844452872</c:v>
                </c:pt>
                <c:pt idx="27">
                  <c:v>3.476475541514028</c:v>
                </c:pt>
                <c:pt idx="28">
                  <c:v>3.4755313976281381</c:v>
                </c:pt>
                <c:pt idx="29">
                  <c:v>3.4752962518233619</c:v>
                </c:pt>
                <c:pt idx="30">
                  <c:v>3.4750950016277944</c:v>
                </c:pt>
                <c:pt idx="31">
                  <c:v>3.473360096026568</c:v>
                </c:pt>
                <c:pt idx="32">
                  <c:v>3.4690198857270858</c:v>
                </c:pt>
                <c:pt idx="33">
                  <c:v>3.4687497603173156</c:v>
                </c:pt>
                <c:pt idx="34">
                  <c:v>3.4704585592458246</c:v>
                </c:pt>
                <c:pt idx="35">
                  <c:v>3.4662732065639266</c:v>
                </c:pt>
                <c:pt idx="36">
                  <c:v>3.4613528395401905</c:v>
                </c:pt>
                <c:pt idx="37">
                  <c:v>3.4579968839691029</c:v>
                </c:pt>
                <c:pt idx="38">
                  <c:v>3.4583587900232229</c:v>
                </c:pt>
                <c:pt idx="39">
                  <c:v>3.4582607111601731</c:v>
                </c:pt>
                <c:pt idx="40">
                  <c:v>3.4565546124021438</c:v>
                </c:pt>
                <c:pt idx="41">
                  <c:v>3.4557312686459616</c:v>
                </c:pt>
                <c:pt idx="42">
                  <c:v>3.4531402849433679</c:v>
                </c:pt>
                <c:pt idx="43">
                  <c:v>3.4528838128485257</c:v>
                </c:pt>
                <c:pt idx="44">
                  <c:v>3.4521746358385896</c:v>
                </c:pt>
                <c:pt idx="45">
                  <c:v>3.4527948102936565</c:v>
                </c:pt>
                <c:pt idx="46">
                  <c:v>3.4512589223989982</c:v>
                </c:pt>
                <c:pt idx="47">
                  <c:v>3.4511391525277406</c:v>
                </c:pt>
                <c:pt idx="48">
                  <c:v>3.4500723477183075</c:v>
                </c:pt>
                <c:pt idx="49">
                  <c:v>3.451348000628192</c:v>
                </c:pt>
                <c:pt idx="50">
                  <c:v>3.4541647530779458</c:v>
                </c:pt>
                <c:pt idx="51">
                  <c:v>3.4544430478533377</c:v>
                </c:pt>
                <c:pt idx="52">
                  <c:v>3.4545399548314237</c:v>
                </c:pt>
                <c:pt idx="53">
                  <c:v>3.4478597464601646</c:v>
                </c:pt>
                <c:pt idx="54">
                  <c:v>3.4417111923912267</c:v>
                </c:pt>
                <c:pt idx="55">
                  <c:v>3.442049590789992</c:v>
                </c:pt>
                <c:pt idx="56">
                  <c:v>3.4407310773370754</c:v>
                </c:pt>
                <c:pt idx="57">
                  <c:v>3.4408668674651923</c:v>
                </c:pt>
                <c:pt idx="58">
                  <c:v>3.437621914898783</c:v>
                </c:pt>
                <c:pt idx="59">
                  <c:v>3.4373298236493222</c:v>
                </c:pt>
                <c:pt idx="60">
                  <c:v>3.4374076859706073</c:v>
                </c:pt>
                <c:pt idx="61">
                  <c:v>3.4445041612877358</c:v>
                </c:pt>
                <c:pt idx="62">
                  <c:v>3.4429429210992692</c:v>
                </c:pt>
                <c:pt idx="63">
                  <c:v>3.4336542978212643</c:v>
                </c:pt>
                <c:pt idx="64">
                  <c:v>3.4314421395901746</c:v>
                </c:pt>
                <c:pt idx="65">
                  <c:v>3.429864239941856</c:v>
                </c:pt>
                <c:pt idx="66">
                  <c:v>3.4296537268111469</c:v>
                </c:pt>
                <c:pt idx="67">
                  <c:v>3.4293471151248283</c:v>
                </c:pt>
                <c:pt idx="68">
                  <c:v>3.4290255316302458</c:v>
                </c:pt>
                <c:pt idx="69">
                  <c:v>3.4287797548505128</c:v>
                </c:pt>
                <c:pt idx="70">
                  <c:v>3.4324861169058658</c:v>
                </c:pt>
                <c:pt idx="71">
                  <c:v>3.4228907116113998</c:v>
                </c:pt>
                <c:pt idx="72">
                  <c:v>3.4214977086589644</c:v>
                </c:pt>
                <c:pt idx="73">
                  <c:v>3.421313171642876</c:v>
                </c:pt>
                <c:pt idx="74">
                  <c:v>3.4218556435220995</c:v>
                </c:pt>
                <c:pt idx="75">
                  <c:v>3.42163204434038</c:v>
                </c:pt>
                <c:pt idx="76">
                  <c:v>3.4213193045746584</c:v>
                </c:pt>
                <c:pt idx="77">
                  <c:v>3.42105767653868</c:v>
                </c:pt>
                <c:pt idx="78">
                  <c:v>3.4212363516275897</c:v>
                </c:pt>
                <c:pt idx="79">
                  <c:v>3.4227330296716798</c:v>
                </c:pt>
                <c:pt idx="80">
                  <c:v>3.4238788330514467</c:v>
                </c:pt>
                <c:pt idx="81">
                  <c:v>3.4240117960433998</c:v>
                </c:pt>
                <c:pt idx="82">
                  <c:v>3.4236733025842243</c:v>
                </c:pt>
                <c:pt idx="83">
                  <c:v>3.4213997554535851</c:v>
                </c:pt>
                <c:pt idx="84">
                  <c:v>3.4211949583776455</c:v>
                </c:pt>
                <c:pt idx="85">
                  <c:v>3.4213278474025484</c:v>
                </c:pt>
                <c:pt idx="86">
                  <c:v>3.4211231042915431</c:v>
                </c:pt>
                <c:pt idx="87">
                  <c:v>3.4212171971737537</c:v>
                </c:pt>
                <c:pt idx="88">
                  <c:v>3.4212171971737533</c:v>
                </c:pt>
                <c:pt idx="89">
                  <c:v>3.4212171971737533</c:v>
                </c:pt>
                <c:pt idx="90">
                  <c:v>3.4212171971737533</c:v>
                </c:pt>
                <c:pt idx="91">
                  <c:v>3.4212171971737542</c:v>
                </c:pt>
                <c:pt idx="92">
                  <c:v>3.4210677976860211</c:v>
                </c:pt>
                <c:pt idx="93">
                  <c:v>3.4210677976860211</c:v>
                </c:pt>
                <c:pt idx="94">
                  <c:v>3.4210677976860215</c:v>
                </c:pt>
                <c:pt idx="95">
                  <c:v>3.4197558976245412</c:v>
                </c:pt>
                <c:pt idx="96">
                  <c:v>3.4181840564280188</c:v>
                </c:pt>
                <c:pt idx="97">
                  <c:v>3.4183004511012642</c:v>
                </c:pt>
                <c:pt idx="98">
                  <c:v>3.4181519987638924</c:v>
                </c:pt>
                <c:pt idx="99">
                  <c:v>3.4121615085348926</c:v>
                </c:pt>
                <c:pt idx="100">
                  <c:v>3.4102401837600276</c:v>
                </c:pt>
                <c:pt idx="101">
                  <c:v>3.4092776229596473</c:v>
                </c:pt>
                <c:pt idx="102">
                  <c:v>3.4089023998006156</c:v>
                </c:pt>
                <c:pt idx="103">
                  <c:v>3.4074200032364983</c:v>
                </c:pt>
                <c:pt idx="104">
                  <c:v>3.4108570020943088</c:v>
                </c:pt>
                <c:pt idx="105">
                  <c:v>3.4173300023200679</c:v>
                </c:pt>
                <c:pt idx="106">
                  <c:v>3.4185020453622879</c:v>
                </c:pt>
                <c:pt idx="107">
                  <c:v>3.4059840820239291</c:v>
                </c:pt>
                <c:pt idx="108">
                  <c:v>3.406432698800363</c:v>
                </c:pt>
                <c:pt idx="109">
                  <c:v>3.4058876219634082</c:v>
                </c:pt>
                <c:pt idx="110">
                  <c:v>3.406153047482837</c:v>
                </c:pt>
                <c:pt idx="111">
                  <c:v>3.4055684074667312</c:v>
                </c:pt>
                <c:pt idx="112">
                  <c:v>3.4051813309686074</c:v>
                </c:pt>
                <c:pt idx="113">
                  <c:v>3.4056332584373132</c:v>
                </c:pt>
                <c:pt idx="114">
                  <c:v>3.4121720693515143</c:v>
                </c:pt>
                <c:pt idx="115">
                  <c:v>3.4122108348667255</c:v>
                </c:pt>
                <c:pt idx="116">
                  <c:v>3.4124132571590207</c:v>
                </c:pt>
                <c:pt idx="117">
                  <c:v>3.4116347427711866</c:v>
                </c:pt>
                <c:pt idx="118">
                  <c:v>3.4109930826356254</c:v>
                </c:pt>
                <c:pt idx="119">
                  <c:v>3.4105452584748281</c:v>
                </c:pt>
                <c:pt idx="120">
                  <c:v>3.4120011559479519</c:v>
                </c:pt>
                <c:pt idx="121">
                  <c:v>3.4136824222504023</c:v>
                </c:pt>
                <c:pt idx="122">
                  <c:v>3.4006906339682295</c:v>
                </c:pt>
                <c:pt idx="123">
                  <c:v>3.3949708546760355</c:v>
                </c:pt>
                <c:pt idx="124">
                  <c:v>3.3949835696395736</c:v>
                </c:pt>
                <c:pt idx="125">
                  <c:v>3.3947967138098831</c:v>
                </c:pt>
                <c:pt idx="126">
                  <c:v>3.3949984864242824</c:v>
                </c:pt>
                <c:pt idx="127">
                  <c:v>3.3953062318322744</c:v>
                </c:pt>
                <c:pt idx="128">
                  <c:v>3.3950918813373918</c:v>
                </c:pt>
                <c:pt idx="129">
                  <c:v>3.3937411045100556</c:v>
                </c:pt>
                <c:pt idx="130">
                  <c:v>3.3934732672706467</c:v>
                </c:pt>
                <c:pt idx="131">
                  <c:v>3.3928660681769163</c:v>
                </c:pt>
                <c:pt idx="132">
                  <c:v>3.3961916494043201</c:v>
                </c:pt>
                <c:pt idx="133">
                  <c:v>3.3953940826543945</c:v>
                </c:pt>
                <c:pt idx="134">
                  <c:v>3.3940534396332902</c:v>
                </c:pt>
                <c:pt idx="135">
                  <c:v>3.3942694079968372</c:v>
                </c:pt>
                <c:pt idx="136">
                  <c:v>3.3811975680953021</c:v>
                </c:pt>
                <c:pt idx="137">
                  <c:v>3.3799936883317256</c:v>
                </c:pt>
                <c:pt idx="138">
                  <c:v>3.3799522675445592</c:v>
                </c:pt>
                <c:pt idx="139">
                  <c:v>3.3828185228485714</c:v>
                </c:pt>
                <c:pt idx="140">
                  <c:v>3.3832805375550814</c:v>
                </c:pt>
                <c:pt idx="141">
                  <c:v>3.3854053101728998</c:v>
                </c:pt>
                <c:pt idx="142">
                  <c:v>3.384098869878656</c:v>
                </c:pt>
                <c:pt idx="143">
                  <c:v>3.3830807233176312</c:v>
                </c:pt>
                <c:pt idx="144">
                  <c:v>3.3810298670810464</c:v>
                </c:pt>
                <c:pt idx="145">
                  <c:v>3.3870421249447231</c:v>
                </c:pt>
                <c:pt idx="146">
                  <c:v>3.3898416030227745</c:v>
                </c:pt>
                <c:pt idx="147">
                  <c:v>3.3878859585569745</c:v>
                </c:pt>
                <c:pt idx="148">
                  <c:v>3.3848316571566937</c:v>
                </c:pt>
                <c:pt idx="149">
                  <c:v>3.3849646449509128</c:v>
                </c:pt>
                <c:pt idx="150">
                  <c:v>3.3851158146824392</c:v>
                </c:pt>
                <c:pt idx="151">
                  <c:v>3.385237511436034</c:v>
                </c:pt>
                <c:pt idx="152">
                  <c:v>3.3852780656901875</c:v>
                </c:pt>
                <c:pt idx="153">
                  <c:v>3.3831200404911921</c:v>
                </c:pt>
                <c:pt idx="154">
                  <c:v>3.3823613845008622</c:v>
                </c:pt>
                <c:pt idx="155">
                  <c:v>3.3747380982682258</c:v>
                </c:pt>
                <c:pt idx="156">
                  <c:v>3.3741817769068603</c:v>
                </c:pt>
                <c:pt idx="157">
                  <c:v>3.3727873945768705</c:v>
                </c:pt>
                <c:pt idx="158">
                  <c:v>3.3718137092143938</c:v>
                </c:pt>
                <c:pt idx="159">
                  <c:v>3.3721930038056134</c:v>
                </c:pt>
                <c:pt idx="160">
                  <c:v>3.3813474072290801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7-4B73-928F-F1982643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940536"/>
        <c:axId val="830940208"/>
      </c:scatterChart>
      <c:valAx>
        <c:axId val="830940536"/>
        <c:scaling>
          <c:orientation val="minMax"/>
          <c:min val="2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z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40208"/>
        <c:crosses val="autoZero"/>
        <c:crossBetween val="midCat"/>
      </c:valAx>
      <c:valAx>
        <c:axId val="8309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Thermal Efficiency Ratio Re=2000/Re=1000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40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82568657076992"/>
          <c:y val="0.20150457781406086"/>
          <c:w val="0.79904860606493777"/>
          <c:h val="6.27094690086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Water vs. 1% TiO_2 Nano Fluid Thermance Performance (w.r.t</a:t>
            </a:r>
            <a:r>
              <a:rPr lang="en-US" b="1" baseline="0"/>
              <a:t> Re=1000 of water fluid)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12909383394523"/>
          <c:y val="0.17930986051492728"/>
          <c:w val="0.80322474316295489"/>
          <c:h val="0.67277802649250784"/>
        </c:manualLayout>
      </c:layout>
      <c:scatterChart>
        <c:scatterStyle val="lineMarker"/>
        <c:varyColors val="0"/>
        <c:ser>
          <c:idx val="2"/>
          <c:order val="0"/>
          <c:tx>
            <c:v>Water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Sheet2!$A$2:$A$162</c:f>
              <c:numCache>
                <c:formatCode>0</c:formatCode>
                <c:ptCount val="161"/>
                <c:pt idx="0">
                  <c:v>27.2</c:v>
                </c:pt>
                <c:pt idx="1">
                  <c:v>27.881</c:v>
                </c:pt>
                <c:pt idx="2">
                  <c:v>28.013000000000002</c:v>
                </c:pt>
                <c:pt idx="3">
                  <c:v>28.036999999999999</c:v>
                </c:pt>
                <c:pt idx="4">
                  <c:v>28.065999999999999</c:v>
                </c:pt>
                <c:pt idx="5">
                  <c:v>28.091999999999999</c:v>
                </c:pt>
                <c:pt idx="6">
                  <c:v>28.858000000000001</c:v>
                </c:pt>
                <c:pt idx="7">
                  <c:v>28.974</c:v>
                </c:pt>
                <c:pt idx="8">
                  <c:v>29.013999999999999</c:v>
                </c:pt>
                <c:pt idx="9">
                  <c:v>29.308</c:v>
                </c:pt>
                <c:pt idx="10">
                  <c:v>30.478999999999999</c:v>
                </c:pt>
                <c:pt idx="11">
                  <c:v>30.530999999999999</c:v>
                </c:pt>
                <c:pt idx="12">
                  <c:v>30.62</c:v>
                </c:pt>
                <c:pt idx="13">
                  <c:v>30.818000000000001</c:v>
                </c:pt>
                <c:pt idx="14">
                  <c:v>30.84</c:v>
                </c:pt>
                <c:pt idx="15">
                  <c:v>30.933</c:v>
                </c:pt>
                <c:pt idx="16">
                  <c:v>30.994</c:v>
                </c:pt>
                <c:pt idx="17">
                  <c:v>31.850999999999999</c:v>
                </c:pt>
                <c:pt idx="18">
                  <c:v>32.337000000000003</c:v>
                </c:pt>
                <c:pt idx="19">
                  <c:v>32.418999999999997</c:v>
                </c:pt>
                <c:pt idx="20">
                  <c:v>32.622</c:v>
                </c:pt>
                <c:pt idx="21">
                  <c:v>33.311</c:v>
                </c:pt>
                <c:pt idx="22">
                  <c:v>33.384999999999998</c:v>
                </c:pt>
                <c:pt idx="23">
                  <c:v>33.429000000000002</c:v>
                </c:pt>
                <c:pt idx="24">
                  <c:v>33.951000000000001</c:v>
                </c:pt>
                <c:pt idx="25">
                  <c:v>33.975000000000001</c:v>
                </c:pt>
                <c:pt idx="26">
                  <c:v>34.008000000000003</c:v>
                </c:pt>
                <c:pt idx="27">
                  <c:v>34.027000000000001</c:v>
                </c:pt>
                <c:pt idx="28">
                  <c:v>34.247999999999998</c:v>
                </c:pt>
                <c:pt idx="29">
                  <c:v>34.253999999999998</c:v>
                </c:pt>
                <c:pt idx="30">
                  <c:v>34.316000000000003</c:v>
                </c:pt>
                <c:pt idx="31">
                  <c:v>34.726999999999997</c:v>
                </c:pt>
                <c:pt idx="32">
                  <c:v>35.399000000000001</c:v>
                </c:pt>
                <c:pt idx="33">
                  <c:v>35.473999999999997</c:v>
                </c:pt>
                <c:pt idx="34">
                  <c:v>35.966999999999999</c:v>
                </c:pt>
                <c:pt idx="35">
                  <c:v>36.332000000000001</c:v>
                </c:pt>
                <c:pt idx="36">
                  <c:v>36.814999999999998</c:v>
                </c:pt>
                <c:pt idx="37">
                  <c:v>37.125999999999998</c:v>
                </c:pt>
                <c:pt idx="38">
                  <c:v>37.161000000000001</c:v>
                </c:pt>
                <c:pt idx="39">
                  <c:v>37.171999999999997</c:v>
                </c:pt>
                <c:pt idx="40">
                  <c:v>37.301000000000002</c:v>
                </c:pt>
                <c:pt idx="41">
                  <c:v>37.454000000000001</c:v>
                </c:pt>
                <c:pt idx="42">
                  <c:v>37.829000000000001</c:v>
                </c:pt>
                <c:pt idx="43">
                  <c:v>37.883000000000003</c:v>
                </c:pt>
                <c:pt idx="44">
                  <c:v>38.002000000000002</c:v>
                </c:pt>
                <c:pt idx="45">
                  <c:v>38.119</c:v>
                </c:pt>
                <c:pt idx="46">
                  <c:v>38.228000000000002</c:v>
                </c:pt>
                <c:pt idx="47">
                  <c:v>38.308999999999997</c:v>
                </c:pt>
                <c:pt idx="48">
                  <c:v>38.509</c:v>
                </c:pt>
                <c:pt idx="49">
                  <c:v>38.673000000000002</c:v>
                </c:pt>
                <c:pt idx="50">
                  <c:v>39.148000000000003</c:v>
                </c:pt>
                <c:pt idx="51">
                  <c:v>39.18</c:v>
                </c:pt>
                <c:pt idx="52">
                  <c:v>39.183999999999997</c:v>
                </c:pt>
                <c:pt idx="53">
                  <c:v>39.643000000000001</c:v>
                </c:pt>
                <c:pt idx="54">
                  <c:v>40.073999999999998</c:v>
                </c:pt>
                <c:pt idx="55">
                  <c:v>40.274000000000001</c:v>
                </c:pt>
                <c:pt idx="56">
                  <c:v>40.395000000000003</c:v>
                </c:pt>
                <c:pt idx="57">
                  <c:v>40.399000000000001</c:v>
                </c:pt>
                <c:pt idx="58">
                  <c:v>40.612000000000002</c:v>
                </c:pt>
                <c:pt idx="59">
                  <c:v>40.630000000000003</c:v>
                </c:pt>
                <c:pt idx="60">
                  <c:v>40.637</c:v>
                </c:pt>
                <c:pt idx="61">
                  <c:v>41.384999999999998</c:v>
                </c:pt>
                <c:pt idx="62">
                  <c:v>41.743000000000002</c:v>
                </c:pt>
                <c:pt idx="63">
                  <c:v>42.356999999999999</c:v>
                </c:pt>
                <c:pt idx="64">
                  <c:v>42.576000000000001</c:v>
                </c:pt>
                <c:pt idx="65">
                  <c:v>42.756</c:v>
                </c:pt>
                <c:pt idx="66">
                  <c:v>42.822000000000003</c:v>
                </c:pt>
                <c:pt idx="67">
                  <c:v>42.874000000000002</c:v>
                </c:pt>
                <c:pt idx="68">
                  <c:v>43</c:v>
                </c:pt>
                <c:pt idx="69">
                  <c:v>43.374000000000002</c:v>
                </c:pt>
                <c:pt idx="70">
                  <c:v>44.012999999999998</c:v>
                </c:pt>
                <c:pt idx="71">
                  <c:v>44.780999999999999</c:v>
                </c:pt>
                <c:pt idx="72">
                  <c:v>44.896000000000001</c:v>
                </c:pt>
                <c:pt idx="73">
                  <c:v>44.944000000000003</c:v>
                </c:pt>
                <c:pt idx="74">
                  <c:v>44.978000000000002</c:v>
                </c:pt>
                <c:pt idx="75">
                  <c:v>45.024000000000001</c:v>
                </c:pt>
                <c:pt idx="76">
                  <c:v>45.209000000000003</c:v>
                </c:pt>
                <c:pt idx="77">
                  <c:v>45.49</c:v>
                </c:pt>
                <c:pt idx="78">
                  <c:v>45.593000000000004</c:v>
                </c:pt>
                <c:pt idx="79">
                  <c:v>45.853000000000002</c:v>
                </c:pt>
                <c:pt idx="80">
                  <c:v>46.07</c:v>
                </c:pt>
                <c:pt idx="81">
                  <c:v>46.087000000000003</c:v>
                </c:pt>
                <c:pt idx="82">
                  <c:v>46.12</c:v>
                </c:pt>
                <c:pt idx="83">
                  <c:v>47.137999999999998</c:v>
                </c:pt>
                <c:pt idx="84">
                  <c:v>47.194000000000003</c:v>
                </c:pt>
                <c:pt idx="85">
                  <c:v>47.258000000000003</c:v>
                </c:pt>
                <c:pt idx="86">
                  <c:v>47.286999999999999</c:v>
                </c:pt>
                <c:pt idx="87">
                  <c:v>47.301000000000002</c:v>
                </c:pt>
                <c:pt idx="88">
                  <c:v>47.302999999999997</c:v>
                </c:pt>
                <c:pt idx="89">
                  <c:v>47.302999999999997</c:v>
                </c:pt>
                <c:pt idx="90">
                  <c:v>47.302999999999997</c:v>
                </c:pt>
                <c:pt idx="91">
                  <c:v>47.304000000000002</c:v>
                </c:pt>
                <c:pt idx="92">
                  <c:v>47.307000000000002</c:v>
                </c:pt>
                <c:pt idx="93">
                  <c:v>47.307000000000002</c:v>
                </c:pt>
                <c:pt idx="94">
                  <c:v>47.332000000000001</c:v>
                </c:pt>
                <c:pt idx="95">
                  <c:v>48.725999999999999</c:v>
                </c:pt>
                <c:pt idx="96">
                  <c:v>48.847999999999999</c:v>
                </c:pt>
                <c:pt idx="97">
                  <c:v>48.923000000000002</c:v>
                </c:pt>
                <c:pt idx="98">
                  <c:v>48.933</c:v>
                </c:pt>
                <c:pt idx="99">
                  <c:v>49.612000000000002</c:v>
                </c:pt>
                <c:pt idx="100">
                  <c:v>50.185000000000002</c:v>
                </c:pt>
                <c:pt idx="101">
                  <c:v>50.292999999999999</c:v>
                </c:pt>
                <c:pt idx="102">
                  <c:v>50.343000000000004</c:v>
                </c:pt>
                <c:pt idx="103">
                  <c:v>50.482999999999997</c:v>
                </c:pt>
                <c:pt idx="104">
                  <c:v>50.811</c:v>
                </c:pt>
                <c:pt idx="105">
                  <c:v>51.247999999999998</c:v>
                </c:pt>
                <c:pt idx="106">
                  <c:v>51.32</c:v>
                </c:pt>
                <c:pt idx="107">
                  <c:v>52.271999999999998</c:v>
                </c:pt>
                <c:pt idx="108">
                  <c:v>52.326999999999998</c:v>
                </c:pt>
                <c:pt idx="109">
                  <c:v>52.37</c:v>
                </c:pt>
                <c:pt idx="110">
                  <c:v>52.4</c:v>
                </c:pt>
                <c:pt idx="111">
                  <c:v>52.542999999999999</c:v>
                </c:pt>
                <c:pt idx="112">
                  <c:v>52.664000000000001</c:v>
                </c:pt>
                <c:pt idx="113">
                  <c:v>52.686999999999998</c:v>
                </c:pt>
                <c:pt idx="114">
                  <c:v>53.529000000000003</c:v>
                </c:pt>
                <c:pt idx="115">
                  <c:v>53.557000000000002</c:v>
                </c:pt>
                <c:pt idx="116">
                  <c:v>53.863999999999997</c:v>
                </c:pt>
                <c:pt idx="117">
                  <c:v>54.033999999999999</c:v>
                </c:pt>
                <c:pt idx="118">
                  <c:v>54.171999999999997</c:v>
                </c:pt>
                <c:pt idx="119">
                  <c:v>54.225000000000001</c:v>
                </c:pt>
                <c:pt idx="120">
                  <c:v>54.69</c:v>
                </c:pt>
                <c:pt idx="121">
                  <c:v>55.023000000000003</c:v>
                </c:pt>
                <c:pt idx="122">
                  <c:v>55.765000000000001</c:v>
                </c:pt>
                <c:pt idx="123">
                  <c:v>56.09</c:v>
                </c:pt>
                <c:pt idx="124">
                  <c:v>56.115000000000002</c:v>
                </c:pt>
                <c:pt idx="125">
                  <c:v>56.143999999999998</c:v>
                </c:pt>
                <c:pt idx="126">
                  <c:v>56.165999999999997</c:v>
                </c:pt>
                <c:pt idx="127">
                  <c:v>56.183</c:v>
                </c:pt>
                <c:pt idx="128">
                  <c:v>56.197000000000003</c:v>
                </c:pt>
                <c:pt idx="129">
                  <c:v>56.335999999999999</c:v>
                </c:pt>
                <c:pt idx="130">
                  <c:v>56.368000000000002</c:v>
                </c:pt>
                <c:pt idx="131">
                  <c:v>56.789000000000001</c:v>
                </c:pt>
                <c:pt idx="132">
                  <c:v>57.543999999999997</c:v>
                </c:pt>
                <c:pt idx="133">
                  <c:v>57.631999999999998</c:v>
                </c:pt>
                <c:pt idx="134">
                  <c:v>57.798999999999999</c:v>
                </c:pt>
                <c:pt idx="135">
                  <c:v>57.893999999999998</c:v>
                </c:pt>
                <c:pt idx="136">
                  <c:v>58.694000000000003</c:v>
                </c:pt>
                <c:pt idx="137">
                  <c:v>58.837000000000003</c:v>
                </c:pt>
                <c:pt idx="138">
                  <c:v>58.863999999999997</c:v>
                </c:pt>
                <c:pt idx="139">
                  <c:v>59.323999999999998</c:v>
                </c:pt>
                <c:pt idx="140">
                  <c:v>59.44</c:v>
                </c:pt>
                <c:pt idx="141">
                  <c:v>59.576000000000001</c:v>
                </c:pt>
                <c:pt idx="142">
                  <c:v>59.665999999999997</c:v>
                </c:pt>
                <c:pt idx="143">
                  <c:v>59.734999999999999</c:v>
                </c:pt>
                <c:pt idx="144">
                  <c:v>59.975000000000001</c:v>
                </c:pt>
                <c:pt idx="145">
                  <c:v>60.588999999999999</c:v>
                </c:pt>
                <c:pt idx="146">
                  <c:v>60.792000000000002</c:v>
                </c:pt>
                <c:pt idx="147">
                  <c:v>61.42</c:v>
                </c:pt>
                <c:pt idx="148">
                  <c:v>62.029000000000003</c:v>
                </c:pt>
                <c:pt idx="149">
                  <c:v>62.051000000000002</c:v>
                </c:pt>
                <c:pt idx="150">
                  <c:v>62.133000000000003</c:v>
                </c:pt>
                <c:pt idx="151">
                  <c:v>62.143999999999998</c:v>
                </c:pt>
                <c:pt idx="152">
                  <c:v>62.148000000000003</c:v>
                </c:pt>
                <c:pt idx="153">
                  <c:v>62.281999999999996</c:v>
                </c:pt>
                <c:pt idx="154">
                  <c:v>62.320999999999998</c:v>
                </c:pt>
                <c:pt idx="155">
                  <c:v>63.249000000000002</c:v>
                </c:pt>
                <c:pt idx="156">
                  <c:v>63.356999999999999</c:v>
                </c:pt>
                <c:pt idx="157">
                  <c:v>63.472000000000001</c:v>
                </c:pt>
                <c:pt idx="158">
                  <c:v>63.529000000000003</c:v>
                </c:pt>
                <c:pt idx="159">
                  <c:v>63.828000000000003</c:v>
                </c:pt>
                <c:pt idx="160">
                  <c:v>64.599999999999994</c:v>
                </c:pt>
              </c:numCache>
            </c:numRef>
          </c:xVal>
          <c:yVal>
            <c:numRef>
              <c:f>Sheet2!$J$2:$J$162</c:f>
              <c:numCache>
                <c:formatCode>0.000</c:formatCode>
                <c:ptCount val="161"/>
                <c:pt idx="0">
                  <c:v>3.7632355209662105</c:v>
                </c:pt>
                <c:pt idx="1">
                  <c:v>3.750913449132014</c:v>
                </c:pt>
                <c:pt idx="2">
                  <c:v>3.7486384879643868</c:v>
                </c:pt>
                <c:pt idx="3">
                  <c:v>3.7483546339874381</c:v>
                </c:pt>
                <c:pt idx="4">
                  <c:v>3.7480546958947603</c:v>
                </c:pt>
                <c:pt idx="5">
                  <c:v>3.7478657843348313</c:v>
                </c:pt>
                <c:pt idx="6">
                  <c:v>3.7483845739021806</c:v>
                </c:pt>
                <c:pt idx="7">
                  <c:v>3.7486332215483364</c:v>
                </c:pt>
                <c:pt idx="8">
                  <c:v>3.7487291725583693</c:v>
                </c:pt>
                <c:pt idx="9">
                  <c:v>3.7471471734320358</c:v>
                </c:pt>
                <c:pt idx="10">
                  <c:v>3.7312430613555061</c:v>
                </c:pt>
                <c:pt idx="11">
                  <c:v>3.731130201207753</c:v>
                </c:pt>
                <c:pt idx="12">
                  <c:v>3.7304768169708065</c:v>
                </c:pt>
                <c:pt idx="13">
                  <c:v>3.7297148767007422</c:v>
                </c:pt>
                <c:pt idx="14">
                  <c:v>3.7299880868222082</c:v>
                </c:pt>
                <c:pt idx="15">
                  <c:v>3.7298187843345532</c:v>
                </c:pt>
                <c:pt idx="16">
                  <c:v>3.7288048237776623</c:v>
                </c:pt>
                <c:pt idx="17">
                  <c:v>3.7250272237456472</c:v>
                </c:pt>
                <c:pt idx="18">
                  <c:v>3.7228178294176395</c:v>
                </c:pt>
                <c:pt idx="19">
                  <c:v>3.7223497215560748</c:v>
                </c:pt>
                <c:pt idx="20">
                  <c:v>3.7199226711857292</c:v>
                </c:pt>
                <c:pt idx="21">
                  <c:v>3.7198820594721003</c:v>
                </c:pt>
                <c:pt idx="22">
                  <c:v>3.7195072572418093</c:v>
                </c:pt>
                <c:pt idx="23">
                  <c:v>3.7191539870140629</c:v>
                </c:pt>
                <c:pt idx="24">
                  <c:v>3.707802891236514</c:v>
                </c:pt>
                <c:pt idx="25">
                  <c:v>3.7072779074317759</c:v>
                </c:pt>
                <c:pt idx="26">
                  <c:v>3.7067949764324841</c:v>
                </c:pt>
                <c:pt idx="27">
                  <c:v>3.7068406644837641</c:v>
                </c:pt>
                <c:pt idx="28">
                  <c:v>3.7057990572395854</c:v>
                </c:pt>
                <c:pt idx="29">
                  <c:v>3.7054441721419198</c:v>
                </c:pt>
                <c:pt idx="30">
                  <c:v>3.7052627947755186</c:v>
                </c:pt>
                <c:pt idx="31">
                  <c:v>3.7035843247619309</c:v>
                </c:pt>
                <c:pt idx="32">
                  <c:v>3.6987727205182268</c:v>
                </c:pt>
                <c:pt idx="33">
                  <c:v>3.6986146711129164</c:v>
                </c:pt>
                <c:pt idx="34">
                  <c:v>3.7004827677487073</c:v>
                </c:pt>
                <c:pt idx="35">
                  <c:v>3.6959484704964138</c:v>
                </c:pt>
                <c:pt idx="36">
                  <c:v>3.6905042849222101</c:v>
                </c:pt>
                <c:pt idx="37">
                  <c:v>3.6872644294861301</c:v>
                </c:pt>
                <c:pt idx="38">
                  <c:v>3.6871386914571822</c:v>
                </c:pt>
                <c:pt idx="39">
                  <c:v>3.6870356757360296</c:v>
                </c:pt>
                <c:pt idx="40">
                  <c:v>3.6853545525336613</c:v>
                </c:pt>
                <c:pt idx="41">
                  <c:v>3.6843828926764122</c:v>
                </c:pt>
                <c:pt idx="42">
                  <c:v>3.6819234043977271</c:v>
                </c:pt>
                <c:pt idx="43">
                  <c:v>3.6815545345576624</c:v>
                </c:pt>
                <c:pt idx="44">
                  <c:v>3.6808169545844933</c:v>
                </c:pt>
                <c:pt idx="45">
                  <c:v>3.6811294262171859</c:v>
                </c:pt>
                <c:pt idx="46">
                  <c:v>3.679899233801132</c:v>
                </c:pt>
                <c:pt idx="47">
                  <c:v>3.6795155280919647</c:v>
                </c:pt>
                <c:pt idx="48">
                  <c:v>3.6786895023209789</c:v>
                </c:pt>
                <c:pt idx="49">
                  <c:v>3.6794710179585497</c:v>
                </c:pt>
                <c:pt idx="50">
                  <c:v>3.6826510021039134</c:v>
                </c:pt>
                <c:pt idx="51">
                  <c:v>3.6829799526641342</c:v>
                </c:pt>
                <c:pt idx="52">
                  <c:v>3.6830817430558391</c:v>
                </c:pt>
                <c:pt idx="53">
                  <c:v>3.6761630853821727</c:v>
                </c:pt>
                <c:pt idx="54">
                  <c:v>3.6694447663383687</c:v>
                </c:pt>
                <c:pt idx="55">
                  <c:v>3.6698665482154773</c:v>
                </c:pt>
                <c:pt idx="56">
                  <c:v>3.668346553155228</c:v>
                </c:pt>
                <c:pt idx="57">
                  <c:v>3.6683907720656177</c:v>
                </c:pt>
                <c:pt idx="58">
                  <c:v>3.6650467920107346</c:v>
                </c:pt>
                <c:pt idx="59">
                  <c:v>3.6647399565925274</c:v>
                </c:pt>
                <c:pt idx="60">
                  <c:v>3.664726804934888</c:v>
                </c:pt>
                <c:pt idx="61">
                  <c:v>3.6724621002880071</c:v>
                </c:pt>
                <c:pt idx="62">
                  <c:v>3.6706247540651611</c:v>
                </c:pt>
                <c:pt idx="63">
                  <c:v>3.6605914636466381</c:v>
                </c:pt>
                <c:pt idx="64">
                  <c:v>3.6584252660416325</c:v>
                </c:pt>
                <c:pt idx="65">
                  <c:v>3.6566629584177419</c:v>
                </c:pt>
                <c:pt idx="66">
                  <c:v>3.6564490372711722</c:v>
                </c:pt>
                <c:pt idx="67">
                  <c:v>3.6561341561037546</c:v>
                </c:pt>
                <c:pt idx="68">
                  <c:v>3.6558288109911365</c:v>
                </c:pt>
                <c:pt idx="69">
                  <c:v>3.6552929661204208</c:v>
                </c:pt>
                <c:pt idx="70">
                  <c:v>3.6594405002486239</c:v>
                </c:pt>
                <c:pt idx="71">
                  <c:v>3.6493751186832193</c:v>
                </c:pt>
                <c:pt idx="72">
                  <c:v>3.6477974918221561</c:v>
                </c:pt>
                <c:pt idx="73">
                  <c:v>3.6477213406676876</c:v>
                </c:pt>
                <c:pt idx="74">
                  <c:v>3.6482233908787394</c:v>
                </c:pt>
                <c:pt idx="75">
                  <c:v>3.648102517874988</c:v>
                </c:pt>
                <c:pt idx="76">
                  <c:v>3.6478058625619321</c:v>
                </c:pt>
                <c:pt idx="77">
                  <c:v>3.6477013625079522</c:v>
                </c:pt>
                <c:pt idx="78">
                  <c:v>3.6476596440189692</c:v>
                </c:pt>
                <c:pt idx="79">
                  <c:v>3.6490508169207794</c:v>
                </c:pt>
                <c:pt idx="80">
                  <c:v>3.6505660108558584</c:v>
                </c:pt>
                <c:pt idx="81">
                  <c:v>3.6503571163716897</c:v>
                </c:pt>
                <c:pt idx="82">
                  <c:v>3.6503571163716901</c:v>
                </c:pt>
                <c:pt idx="83">
                  <c:v>3.6479537880130914</c:v>
                </c:pt>
                <c:pt idx="84">
                  <c:v>3.6478445124870498</c:v>
                </c:pt>
                <c:pt idx="85">
                  <c:v>3.647636399188789</c:v>
                </c:pt>
                <c:pt idx="86">
                  <c:v>3.6477795170636464</c:v>
                </c:pt>
                <c:pt idx="87">
                  <c:v>3.647626052138869</c:v>
                </c:pt>
                <c:pt idx="88">
                  <c:v>3.6476260521388686</c:v>
                </c:pt>
                <c:pt idx="89">
                  <c:v>3.6476260521388686</c:v>
                </c:pt>
                <c:pt idx="90">
                  <c:v>3.6476260521388686</c:v>
                </c:pt>
                <c:pt idx="91">
                  <c:v>3.6476260521388681</c:v>
                </c:pt>
                <c:pt idx="92">
                  <c:v>3.6477249064723778</c:v>
                </c:pt>
                <c:pt idx="93">
                  <c:v>3.6477249064723778</c:v>
                </c:pt>
                <c:pt idx="94">
                  <c:v>3.6474726084431572</c:v>
                </c:pt>
                <c:pt idx="95">
                  <c:v>3.6461671144690628</c:v>
                </c:pt>
                <c:pt idx="96">
                  <c:v>3.6442700883867336</c:v>
                </c:pt>
                <c:pt idx="97">
                  <c:v>3.6445012509395727</c:v>
                </c:pt>
                <c:pt idx="98">
                  <c:v>3.6443487826566141</c:v>
                </c:pt>
                <c:pt idx="99">
                  <c:v>3.6380544610105057</c:v>
                </c:pt>
                <c:pt idx="100">
                  <c:v>3.6358059732330124</c:v>
                </c:pt>
                <c:pt idx="101">
                  <c:v>3.6346856238108023</c:v>
                </c:pt>
                <c:pt idx="102">
                  <c:v>3.6342914062811045</c:v>
                </c:pt>
                <c:pt idx="103">
                  <c:v>3.6328544750880458</c:v>
                </c:pt>
                <c:pt idx="104">
                  <c:v>3.6365716190881519</c:v>
                </c:pt>
                <c:pt idx="105">
                  <c:v>3.6436461836875367</c:v>
                </c:pt>
                <c:pt idx="106">
                  <c:v>3.6446843827368336</c:v>
                </c:pt>
                <c:pt idx="107">
                  <c:v>3.6314508948772555</c:v>
                </c:pt>
                <c:pt idx="108">
                  <c:v>3.6318024893768279</c:v>
                </c:pt>
                <c:pt idx="109">
                  <c:v>3.6313737939401087</c:v>
                </c:pt>
                <c:pt idx="110">
                  <c:v>3.6314107303034908</c:v>
                </c:pt>
                <c:pt idx="111">
                  <c:v>3.6310349230322889</c:v>
                </c:pt>
                <c:pt idx="112">
                  <c:v>3.6306351332621358</c:v>
                </c:pt>
                <c:pt idx="113">
                  <c:v>3.6308680850606398</c:v>
                </c:pt>
                <c:pt idx="114">
                  <c:v>3.6380333349500442</c:v>
                </c:pt>
                <c:pt idx="115">
                  <c:v>3.6380775103217218</c:v>
                </c:pt>
                <c:pt idx="116">
                  <c:v>3.6379801579373794</c:v>
                </c:pt>
                <c:pt idx="117">
                  <c:v>3.6375032111238981</c:v>
                </c:pt>
                <c:pt idx="118">
                  <c:v>3.6367077382555757</c:v>
                </c:pt>
                <c:pt idx="119">
                  <c:v>3.6362303263155193</c:v>
                </c:pt>
                <c:pt idx="120">
                  <c:v>3.6377064972976303</c:v>
                </c:pt>
                <c:pt idx="121">
                  <c:v>3.6398804404623868</c:v>
                </c:pt>
                <c:pt idx="122">
                  <c:v>3.6257719424239858</c:v>
                </c:pt>
                <c:pt idx="123">
                  <c:v>3.6197149904102441</c:v>
                </c:pt>
                <c:pt idx="124">
                  <c:v>3.619472788836728</c:v>
                </c:pt>
                <c:pt idx="125">
                  <c:v>3.6193746203314694</c:v>
                </c:pt>
                <c:pt idx="126">
                  <c:v>3.6198525463039815</c:v>
                </c:pt>
                <c:pt idx="127">
                  <c:v>3.6199377514330275</c:v>
                </c:pt>
                <c:pt idx="128">
                  <c:v>3.6197021160734821</c:v>
                </c:pt>
                <c:pt idx="129">
                  <c:v>3.6184054542252873</c:v>
                </c:pt>
                <c:pt idx="130">
                  <c:v>3.6177702705214725</c:v>
                </c:pt>
                <c:pt idx="131">
                  <c:v>3.617282555682571</c:v>
                </c:pt>
                <c:pt idx="132">
                  <c:v>3.620942461433116</c:v>
                </c:pt>
                <c:pt idx="133">
                  <c:v>3.619986118534618</c:v>
                </c:pt>
                <c:pt idx="134">
                  <c:v>3.6186715766676687</c:v>
                </c:pt>
                <c:pt idx="135">
                  <c:v>3.6189329324126902</c:v>
                </c:pt>
                <c:pt idx="136">
                  <c:v>3.6047475130481321</c:v>
                </c:pt>
                <c:pt idx="137">
                  <c:v>3.6037231073282765</c:v>
                </c:pt>
                <c:pt idx="138">
                  <c:v>3.6033303523713451</c:v>
                </c:pt>
                <c:pt idx="139">
                  <c:v>3.6067115680029831</c:v>
                </c:pt>
                <c:pt idx="140">
                  <c:v>3.6070791341438158</c:v>
                </c:pt>
                <c:pt idx="141">
                  <c:v>3.6092560585247964</c:v>
                </c:pt>
                <c:pt idx="142">
                  <c:v>3.6081053972240702</c:v>
                </c:pt>
                <c:pt idx="143">
                  <c:v>3.6069070056171344</c:v>
                </c:pt>
                <c:pt idx="144">
                  <c:v>3.6048456479915072</c:v>
                </c:pt>
                <c:pt idx="145">
                  <c:v>3.6110554907171508</c:v>
                </c:pt>
                <c:pt idx="146">
                  <c:v>3.614162988041508</c:v>
                </c:pt>
                <c:pt idx="147">
                  <c:v>3.6123361491322221</c:v>
                </c:pt>
                <c:pt idx="148">
                  <c:v>3.6090566169187785</c:v>
                </c:pt>
                <c:pt idx="149">
                  <c:v>3.6090516972247046</c:v>
                </c:pt>
                <c:pt idx="150">
                  <c:v>3.6092310169224748</c:v>
                </c:pt>
                <c:pt idx="151">
                  <c:v>3.6094661454232289</c:v>
                </c:pt>
                <c:pt idx="152">
                  <c:v>3.6095121639647143</c:v>
                </c:pt>
                <c:pt idx="153">
                  <c:v>3.6069854587210313</c:v>
                </c:pt>
                <c:pt idx="154">
                  <c:v>3.6064163442627515</c:v>
                </c:pt>
                <c:pt idx="155">
                  <c:v>3.5983734947878512</c:v>
                </c:pt>
                <c:pt idx="156">
                  <c:v>3.5977888212165161</c:v>
                </c:pt>
                <c:pt idx="157">
                  <c:v>3.5961952995210136</c:v>
                </c:pt>
                <c:pt idx="158">
                  <c:v>3.5950403790808143</c:v>
                </c:pt>
                <c:pt idx="159">
                  <c:v>3.5955978468784866</c:v>
                </c:pt>
                <c:pt idx="160">
                  <c:v>3.6054438824044519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1-4E65-B1EF-D428956734BC}"/>
            </c:ext>
          </c:extLst>
        </c:ser>
        <c:ser>
          <c:idx val="0"/>
          <c:order val="1"/>
          <c:tx>
            <c:v>1% TiO2 Nano Fluid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Sheet2!$A$2:$A$162</c:f>
              <c:numCache>
                <c:formatCode>0</c:formatCode>
                <c:ptCount val="161"/>
                <c:pt idx="0">
                  <c:v>27.2</c:v>
                </c:pt>
                <c:pt idx="1">
                  <c:v>27.881</c:v>
                </c:pt>
                <c:pt idx="2">
                  <c:v>28.013000000000002</c:v>
                </c:pt>
                <c:pt idx="3">
                  <c:v>28.036999999999999</c:v>
                </c:pt>
                <c:pt idx="4">
                  <c:v>28.065999999999999</c:v>
                </c:pt>
                <c:pt idx="5">
                  <c:v>28.091999999999999</c:v>
                </c:pt>
                <c:pt idx="6">
                  <c:v>28.858000000000001</c:v>
                </c:pt>
                <c:pt idx="7">
                  <c:v>28.974</c:v>
                </c:pt>
                <c:pt idx="8">
                  <c:v>29.013999999999999</c:v>
                </c:pt>
                <c:pt idx="9">
                  <c:v>29.308</c:v>
                </c:pt>
                <c:pt idx="10">
                  <c:v>30.478999999999999</c:v>
                </c:pt>
                <c:pt idx="11">
                  <c:v>30.530999999999999</c:v>
                </c:pt>
                <c:pt idx="12">
                  <c:v>30.62</c:v>
                </c:pt>
                <c:pt idx="13">
                  <c:v>30.818000000000001</c:v>
                </c:pt>
                <c:pt idx="14">
                  <c:v>30.84</c:v>
                </c:pt>
                <c:pt idx="15">
                  <c:v>30.933</c:v>
                </c:pt>
                <c:pt idx="16">
                  <c:v>30.994</c:v>
                </c:pt>
                <c:pt idx="17">
                  <c:v>31.850999999999999</c:v>
                </c:pt>
                <c:pt idx="18">
                  <c:v>32.337000000000003</c:v>
                </c:pt>
                <c:pt idx="19">
                  <c:v>32.418999999999997</c:v>
                </c:pt>
                <c:pt idx="20">
                  <c:v>32.622</c:v>
                </c:pt>
                <c:pt idx="21">
                  <c:v>33.311</c:v>
                </c:pt>
                <c:pt idx="22">
                  <c:v>33.384999999999998</c:v>
                </c:pt>
                <c:pt idx="23">
                  <c:v>33.429000000000002</c:v>
                </c:pt>
                <c:pt idx="24">
                  <c:v>33.951000000000001</c:v>
                </c:pt>
                <c:pt idx="25">
                  <c:v>33.975000000000001</c:v>
                </c:pt>
                <c:pt idx="26">
                  <c:v>34.008000000000003</c:v>
                </c:pt>
                <c:pt idx="27">
                  <c:v>34.027000000000001</c:v>
                </c:pt>
                <c:pt idx="28">
                  <c:v>34.247999999999998</c:v>
                </c:pt>
                <c:pt idx="29">
                  <c:v>34.253999999999998</c:v>
                </c:pt>
                <c:pt idx="30">
                  <c:v>34.316000000000003</c:v>
                </c:pt>
                <c:pt idx="31">
                  <c:v>34.726999999999997</c:v>
                </c:pt>
                <c:pt idx="32">
                  <c:v>35.399000000000001</c:v>
                </c:pt>
                <c:pt idx="33">
                  <c:v>35.473999999999997</c:v>
                </c:pt>
                <c:pt idx="34">
                  <c:v>35.966999999999999</c:v>
                </c:pt>
                <c:pt idx="35">
                  <c:v>36.332000000000001</c:v>
                </c:pt>
                <c:pt idx="36">
                  <c:v>36.814999999999998</c:v>
                </c:pt>
                <c:pt idx="37">
                  <c:v>37.125999999999998</c:v>
                </c:pt>
                <c:pt idx="38">
                  <c:v>37.161000000000001</c:v>
                </c:pt>
                <c:pt idx="39">
                  <c:v>37.171999999999997</c:v>
                </c:pt>
                <c:pt idx="40">
                  <c:v>37.301000000000002</c:v>
                </c:pt>
                <c:pt idx="41">
                  <c:v>37.454000000000001</c:v>
                </c:pt>
                <c:pt idx="42">
                  <c:v>37.829000000000001</c:v>
                </c:pt>
                <c:pt idx="43">
                  <c:v>37.883000000000003</c:v>
                </c:pt>
                <c:pt idx="44">
                  <c:v>38.002000000000002</c:v>
                </c:pt>
                <c:pt idx="45">
                  <c:v>38.119</c:v>
                </c:pt>
                <c:pt idx="46">
                  <c:v>38.228000000000002</c:v>
                </c:pt>
                <c:pt idx="47">
                  <c:v>38.308999999999997</c:v>
                </c:pt>
                <c:pt idx="48">
                  <c:v>38.509</c:v>
                </c:pt>
                <c:pt idx="49">
                  <c:v>38.673000000000002</c:v>
                </c:pt>
                <c:pt idx="50">
                  <c:v>39.148000000000003</c:v>
                </c:pt>
                <c:pt idx="51">
                  <c:v>39.18</c:v>
                </c:pt>
                <c:pt idx="52">
                  <c:v>39.183999999999997</c:v>
                </c:pt>
                <c:pt idx="53">
                  <c:v>39.643000000000001</c:v>
                </c:pt>
                <c:pt idx="54">
                  <c:v>40.073999999999998</c:v>
                </c:pt>
                <c:pt idx="55">
                  <c:v>40.274000000000001</c:v>
                </c:pt>
                <c:pt idx="56">
                  <c:v>40.395000000000003</c:v>
                </c:pt>
                <c:pt idx="57">
                  <c:v>40.399000000000001</c:v>
                </c:pt>
                <c:pt idx="58">
                  <c:v>40.612000000000002</c:v>
                </c:pt>
                <c:pt idx="59">
                  <c:v>40.630000000000003</c:v>
                </c:pt>
                <c:pt idx="60">
                  <c:v>40.637</c:v>
                </c:pt>
                <c:pt idx="61">
                  <c:v>41.384999999999998</c:v>
                </c:pt>
                <c:pt idx="62">
                  <c:v>41.743000000000002</c:v>
                </c:pt>
                <c:pt idx="63">
                  <c:v>42.356999999999999</c:v>
                </c:pt>
                <c:pt idx="64">
                  <c:v>42.576000000000001</c:v>
                </c:pt>
                <c:pt idx="65">
                  <c:v>42.756</c:v>
                </c:pt>
                <c:pt idx="66">
                  <c:v>42.822000000000003</c:v>
                </c:pt>
                <c:pt idx="67">
                  <c:v>42.874000000000002</c:v>
                </c:pt>
                <c:pt idx="68">
                  <c:v>43</c:v>
                </c:pt>
                <c:pt idx="69">
                  <c:v>43.374000000000002</c:v>
                </c:pt>
                <c:pt idx="70">
                  <c:v>44.012999999999998</c:v>
                </c:pt>
                <c:pt idx="71">
                  <c:v>44.780999999999999</c:v>
                </c:pt>
                <c:pt idx="72">
                  <c:v>44.896000000000001</c:v>
                </c:pt>
                <c:pt idx="73">
                  <c:v>44.944000000000003</c:v>
                </c:pt>
                <c:pt idx="74">
                  <c:v>44.978000000000002</c:v>
                </c:pt>
                <c:pt idx="75">
                  <c:v>45.024000000000001</c:v>
                </c:pt>
                <c:pt idx="76">
                  <c:v>45.209000000000003</c:v>
                </c:pt>
                <c:pt idx="77">
                  <c:v>45.49</c:v>
                </c:pt>
                <c:pt idx="78">
                  <c:v>45.593000000000004</c:v>
                </c:pt>
                <c:pt idx="79">
                  <c:v>45.853000000000002</c:v>
                </c:pt>
                <c:pt idx="80">
                  <c:v>46.07</c:v>
                </c:pt>
                <c:pt idx="81">
                  <c:v>46.087000000000003</c:v>
                </c:pt>
                <c:pt idx="82">
                  <c:v>46.12</c:v>
                </c:pt>
                <c:pt idx="83">
                  <c:v>47.137999999999998</c:v>
                </c:pt>
                <c:pt idx="84">
                  <c:v>47.194000000000003</c:v>
                </c:pt>
                <c:pt idx="85">
                  <c:v>47.258000000000003</c:v>
                </c:pt>
                <c:pt idx="86">
                  <c:v>47.286999999999999</c:v>
                </c:pt>
                <c:pt idx="87">
                  <c:v>47.301000000000002</c:v>
                </c:pt>
                <c:pt idx="88">
                  <c:v>47.302999999999997</c:v>
                </c:pt>
                <c:pt idx="89">
                  <c:v>47.302999999999997</c:v>
                </c:pt>
                <c:pt idx="90">
                  <c:v>47.302999999999997</c:v>
                </c:pt>
                <c:pt idx="91">
                  <c:v>47.304000000000002</c:v>
                </c:pt>
                <c:pt idx="92">
                  <c:v>47.307000000000002</c:v>
                </c:pt>
                <c:pt idx="93">
                  <c:v>47.307000000000002</c:v>
                </c:pt>
                <c:pt idx="94">
                  <c:v>47.332000000000001</c:v>
                </c:pt>
                <c:pt idx="95">
                  <c:v>48.725999999999999</c:v>
                </c:pt>
                <c:pt idx="96">
                  <c:v>48.847999999999999</c:v>
                </c:pt>
                <c:pt idx="97">
                  <c:v>48.923000000000002</c:v>
                </c:pt>
                <c:pt idx="98">
                  <c:v>48.933</c:v>
                </c:pt>
                <c:pt idx="99">
                  <c:v>49.612000000000002</c:v>
                </c:pt>
                <c:pt idx="100">
                  <c:v>50.185000000000002</c:v>
                </c:pt>
                <c:pt idx="101">
                  <c:v>50.292999999999999</c:v>
                </c:pt>
                <c:pt idx="102">
                  <c:v>50.343000000000004</c:v>
                </c:pt>
                <c:pt idx="103">
                  <c:v>50.482999999999997</c:v>
                </c:pt>
                <c:pt idx="104">
                  <c:v>50.811</c:v>
                </c:pt>
                <c:pt idx="105">
                  <c:v>51.247999999999998</c:v>
                </c:pt>
                <c:pt idx="106">
                  <c:v>51.32</c:v>
                </c:pt>
                <c:pt idx="107">
                  <c:v>52.271999999999998</c:v>
                </c:pt>
                <c:pt idx="108">
                  <c:v>52.326999999999998</c:v>
                </c:pt>
                <c:pt idx="109">
                  <c:v>52.37</c:v>
                </c:pt>
                <c:pt idx="110">
                  <c:v>52.4</c:v>
                </c:pt>
                <c:pt idx="111">
                  <c:v>52.542999999999999</c:v>
                </c:pt>
                <c:pt idx="112">
                  <c:v>52.664000000000001</c:v>
                </c:pt>
                <c:pt idx="113">
                  <c:v>52.686999999999998</c:v>
                </c:pt>
                <c:pt idx="114">
                  <c:v>53.529000000000003</c:v>
                </c:pt>
                <c:pt idx="115">
                  <c:v>53.557000000000002</c:v>
                </c:pt>
                <c:pt idx="116">
                  <c:v>53.863999999999997</c:v>
                </c:pt>
                <c:pt idx="117">
                  <c:v>54.033999999999999</c:v>
                </c:pt>
                <c:pt idx="118">
                  <c:v>54.171999999999997</c:v>
                </c:pt>
                <c:pt idx="119">
                  <c:v>54.225000000000001</c:v>
                </c:pt>
                <c:pt idx="120">
                  <c:v>54.69</c:v>
                </c:pt>
                <c:pt idx="121">
                  <c:v>55.023000000000003</c:v>
                </c:pt>
                <c:pt idx="122">
                  <c:v>55.765000000000001</c:v>
                </c:pt>
                <c:pt idx="123">
                  <c:v>56.09</c:v>
                </c:pt>
                <c:pt idx="124">
                  <c:v>56.115000000000002</c:v>
                </c:pt>
                <c:pt idx="125">
                  <c:v>56.143999999999998</c:v>
                </c:pt>
                <c:pt idx="126">
                  <c:v>56.165999999999997</c:v>
                </c:pt>
                <c:pt idx="127">
                  <c:v>56.183</c:v>
                </c:pt>
                <c:pt idx="128">
                  <c:v>56.197000000000003</c:v>
                </c:pt>
                <c:pt idx="129">
                  <c:v>56.335999999999999</c:v>
                </c:pt>
                <c:pt idx="130">
                  <c:v>56.368000000000002</c:v>
                </c:pt>
                <c:pt idx="131">
                  <c:v>56.789000000000001</c:v>
                </c:pt>
                <c:pt idx="132">
                  <c:v>57.543999999999997</c:v>
                </c:pt>
                <c:pt idx="133">
                  <c:v>57.631999999999998</c:v>
                </c:pt>
                <c:pt idx="134">
                  <c:v>57.798999999999999</c:v>
                </c:pt>
                <c:pt idx="135">
                  <c:v>57.893999999999998</c:v>
                </c:pt>
                <c:pt idx="136">
                  <c:v>58.694000000000003</c:v>
                </c:pt>
                <c:pt idx="137">
                  <c:v>58.837000000000003</c:v>
                </c:pt>
                <c:pt idx="138">
                  <c:v>58.863999999999997</c:v>
                </c:pt>
                <c:pt idx="139">
                  <c:v>59.323999999999998</c:v>
                </c:pt>
                <c:pt idx="140">
                  <c:v>59.44</c:v>
                </c:pt>
                <c:pt idx="141">
                  <c:v>59.576000000000001</c:v>
                </c:pt>
                <c:pt idx="142">
                  <c:v>59.665999999999997</c:v>
                </c:pt>
                <c:pt idx="143">
                  <c:v>59.734999999999999</c:v>
                </c:pt>
                <c:pt idx="144">
                  <c:v>59.975000000000001</c:v>
                </c:pt>
                <c:pt idx="145">
                  <c:v>60.588999999999999</c:v>
                </c:pt>
                <c:pt idx="146">
                  <c:v>60.792000000000002</c:v>
                </c:pt>
                <c:pt idx="147">
                  <c:v>61.42</c:v>
                </c:pt>
                <c:pt idx="148">
                  <c:v>62.029000000000003</c:v>
                </c:pt>
                <c:pt idx="149">
                  <c:v>62.051000000000002</c:v>
                </c:pt>
                <c:pt idx="150">
                  <c:v>62.133000000000003</c:v>
                </c:pt>
                <c:pt idx="151">
                  <c:v>62.143999999999998</c:v>
                </c:pt>
                <c:pt idx="152">
                  <c:v>62.148000000000003</c:v>
                </c:pt>
                <c:pt idx="153">
                  <c:v>62.281999999999996</c:v>
                </c:pt>
                <c:pt idx="154">
                  <c:v>62.320999999999998</c:v>
                </c:pt>
                <c:pt idx="155">
                  <c:v>63.249000000000002</c:v>
                </c:pt>
                <c:pt idx="156">
                  <c:v>63.356999999999999</c:v>
                </c:pt>
                <c:pt idx="157">
                  <c:v>63.472000000000001</c:v>
                </c:pt>
                <c:pt idx="158">
                  <c:v>63.529000000000003</c:v>
                </c:pt>
                <c:pt idx="159">
                  <c:v>63.828000000000003</c:v>
                </c:pt>
                <c:pt idx="160">
                  <c:v>64.599999999999994</c:v>
                </c:pt>
              </c:numCache>
            </c:numRef>
          </c:xVal>
          <c:yVal>
            <c:numRef>
              <c:f>Sheet2!$L$2:$L$162</c:f>
              <c:numCache>
                <c:formatCode>General</c:formatCode>
                <c:ptCount val="161"/>
                <c:pt idx="0">
                  <c:v>4.6771631288227802</c:v>
                </c:pt>
                <c:pt idx="1">
                  <c:v>4.6614448669641204</c:v>
                </c:pt>
                <c:pt idx="2">
                  <c:v>4.6583881582208475</c:v>
                </c:pt>
                <c:pt idx="3">
                  <c:v>4.6583067515268022</c:v>
                </c:pt>
                <c:pt idx="4">
                  <c:v>4.6575895751374254</c:v>
                </c:pt>
                <c:pt idx="5">
                  <c:v>4.6572922205700884</c:v>
                </c:pt>
                <c:pt idx="6">
                  <c:v>4.6583682843514982</c:v>
                </c:pt>
                <c:pt idx="7">
                  <c:v>4.6586455556892332</c:v>
                </c:pt>
                <c:pt idx="8">
                  <c:v>4.6586317127768568</c:v>
                </c:pt>
                <c:pt idx="9">
                  <c:v>4.656532748588476</c:v>
                </c:pt>
                <c:pt idx="10">
                  <c:v>4.6365959185189007</c:v>
                </c:pt>
                <c:pt idx="11">
                  <c:v>4.6364046325239068</c:v>
                </c:pt>
                <c:pt idx="12">
                  <c:v>4.6354907725319183</c:v>
                </c:pt>
                <c:pt idx="13">
                  <c:v>4.6345649448692248</c:v>
                </c:pt>
                <c:pt idx="14">
                  <c:v>4.6348638016079304</c:v>
                </c:pt>
                <c:pt idx="15">
                  <c:v>4.6348163785576828</c:v>
                </c:pt>
                <c:pt idx="16">
                  <c:v>4.6336478148381737</c:v>
                </c:pt>
                <c:pt idx="17">
                  <c:v>4.6286713299396949</c:v>
                </c:pt>
                <c:pt idx="18">
                  <c:v>4.6260676382305803</c:v>
                </c:pt>
                <c:pt idx="19">
                  <c:v>4.6253958254584422</c:v>
                </c:pt>
                <c:pt idx="20">
                  <c:v>4.6222301241397705</c:v>
                </c:pt>
                <c:pt idx="21">
                  <c:v>4.6222544267501693</c:v>
                </c:pt>
                <c:pt idx="22">
                  <c:v>4.6217297145299456</c:v>
                </c:pt>
                <c:pt idx="23">
                  <c:v>4.6212514596145562</c:v>
                </c:pt>
                <c:pt idx="24">
                  <c:v>4.6071439416556572</c:v>
                </c:pt>
                <c:pt idx="25">
                  <c:v>4.6061945508865447</c:v>
                </c:pt>
                <c:pt idx="26">
                  <c:v>4.6056339069638454</c:v>
                </c:pt>
                <c:pt idx="27">
                  <c:v>4.6056316042298295</c:v>
                </c:pt>
                <c:pt idx="28">
                  <c:v>4.6043687519076846</c:v>
                </c:pt>
                <c:pt idx="29">
                  <c:v>4.6039376324288508</c:v>
                </c:pt>
                <c:pt idx="30">
                  <c:v>4.60363378415492</c:v>
                </c:pt>
                <c:pt idx="31">
                  <c:v>4.6013453317599318</c:v>
                </c:pt>
                <c:pt idx="32">
                  <c:v>4.5953892567889554</c:v>
                </c:pt>
                <c:pt idx="33">
                  <c:v>4.5951346550767749</c:v>
                </c:pt>
                <c:pt idx="34">
                  <c:v>4.5975113509404757</c:v>
                </c:pt>
                <c:pt idx="35">
                  <c:v>4.591798320162364</c:v>
                </c:pt>
                <c:pt idx="36">
                  <c:v>4.5852177308426354</c:v>
                </c:pt>
                <c:pt idx="37">
                  <c:v>4.5806378234906724</c:v>
                </c:pt>
                <c:pt idx="38">
                  <c:v>4.5810747923844835</c:v>
                </c:pt>
                <c:pt idx="39">
                  <c:v>4.5809468007999854</c:v>
                </c:pt>
                <c:pt idx="40">
                  <c:v>4.5786629043277136</c:v>
                </c:pt>
                <c:pt idx="41">
                  <c:v>4.5774653612569169</c:v>
                </c:pt>
                <c:pt idx="42">
                  <c:v>4.574089197467635</c:v>
                </c:pt>
                <c:pt idx="43">
                  <c:v>4.5736213359283502</c:v>
                </c:pt>
                <c:pt idx="44">
                  <c:v>4.5726858213132626</c:v>
                </c:pt>
                <c:pt idx="45">
                  <c:v>4.5735026812102779</c:v>
                </c:pt>
                <c:pt idx="46">
                  <c:v>4.5714306008523913</c:v>
                </c:pt>
                <c:pt idx="47">
                  <c:v>4.5712642754123429</c:v>
                </c:pt>
                <c:pt idx="48">
                  <c:v>4.5698320298215442</c:v>
                </c:pt>
                <c:pt idx="49">
                  <c:v>4.5714445329428219</c:v>
                </c:pt>
                <c:pt idx="50">
                  <c:v>4.5753450564410025</c:v>
                </c:pt>
                <c:pt idx="51">
                  <c:v>4.5756585960900242</c:v>
                </c:pt>
                <c:pt idx="52">
                  <c:v>4.5757850583805579</c:v>
                </c:pt>
                <c:pt idx="53">
                  <c:v>4.5668512302717907</c:v>
                </c:pt>
                <c:pt idx="54">
                  <c:v>4.5584731922804984</c:v>
                </c:pt>
                <c:pt idx="55">
                  <c:v>4.5590007104118362</c:v>
                </c:pt>
                <c:pt idx="56">
                  <c:v>4.5571976861399994</c:v>
                </c:pt>
                <c:pt idx="57">
                  <c:v>4.5572431432126423</c:v>
                </c:pt>
                <c:pt idx="58">
                  <c:v>4.5530096823084261</c:v>
                </c:pt>
                <c:pt idx="59">
                  <c:v>4.5526285071940951</c:v>
                </c:pt>
                <c:pt idx="60">
                  <c:v>4.5525932152812025</c:v>
                </c:pt>
                <c:pt idx="61">
                  <c:v>4.5622613205248488</c:v>
                </c:pt>
                <c:pt idx="62">
                  <c:v>4.5601410855056388</c:v>
                </c:pt>
                <c:pt idx="63">
                  <c:v>4.5475205018308964</c:v>
                </c:pt>
                <c:pt idx="64">
                  <c:v>4.5445081507491176</c:v>
                </c:pt>
                <c:pt idx="65">
                  <c:v>4.5423283295035946</c:v>
                </c:pt>
                <c:pt idx="66">
                  <c:v>4.5420439514331283</c:v>
                </c:pt>
                <c:pt idx="67">
                  <c:v>4.5416341688634505</c:v>
                </c:pt>
                <c:pt idx="68">
                  <c:v>4.5411710783516703</c:v>
                </c:pt>
                <c:pt idx="69">
                  <c:v>4.54079266298859</c:v>
                </c:pt>
                <c:pt idx="70">
                  <c:v>4.5459874084127048</c:v>
                </c:pt>
                <c:pt idx="71">
                  <c:v>4.5330985450734884</c:v>
                </c:pt>
                <c:pt idx="72">
                  <c:v>4.5311756287193337</c:v>
                </c:pt>
                <c:pt idx="73">
                  <c:v>4.5310351097052299</c:v>
                </c:pt>
                <c:pt idx="74">
                  <c:v>4.5315761379491777</c:v>
                </c:pt>
                <c:pt idx="75">
                  <c:v>4.5313893239035679</c:v>
                </c:pt>
                <c:pt idx="76">
                  <c:v>4.5309384094705081</c:v>
                </c:pt>
                <c:pt idx="77">
                  <c:v>4.5306258133849973</c:v>
                </c:pt>
                <c:pt idx="78">
                  <c:v>4.5308257697075192</c:v>
                </c:pt>
                <c:pt idx="79">
                  <c:v>4.5328553195236818</c:v>
                </c:pt>
                <c:pt idx="80">
                  <c:v>4.5344455107512243</c:v>
                </c:pt>
                <c:pt idx="81">
                  <c:v>4.534491241863325</c:v>
                </c:pt>
                <c:pt idx="82">
                  <c:v>4.5341678347424432</c:v>
                </c:pt>
                <c:pt idx="83">
                  <c:v>4.5309647246649938</c:v>
                </c:pt>
                <c:pt idx="84">
                  <c:v>4.5308108743638984</c:v>
                </c:pt>
                <c:pt idx="85">
                  <c:v>4.5308567730560982</c:v>
                </c:pt>
                <c:pt idx="86">
                  <c:v>4.530702970972377</c:v>
                </c:pt>
                <c:pt idx="87">
                  <c:v>4.530825760906005</c:v>
                </c:pt>
                <c:pt idx="88">
                  <c:v>4.530825760906005</c:v>
                </c:pt>
                <c:pt idx="89">
                  <c:v>4.530825760906005</c:v>
                </c:pt>
                <c:pt idx="90">
                  <c:v>4.530825760906005</c:v>
                </c:pt>
                <c:pt idx="91">
                  <c:v>4.530825760906005</c:v>
                </c:pt>
                <c:pt idx="92">
                  <c:v>4.5306260863495007</c:v>
                </c:pt>
                <c:pt idx="93">
                  <c:v>4.5306260863495007</c:v>
                </c:pt>
                <c:pt idx="94">
                  <c:v>4.5306260863495016</c:v>
                </c:pt>
                <c:pt idx="95">
                  <c:v>4.5289056725298362</c:v>
                </c:pt>
                <c:pt idx="96">
                  <c:v>4.5266756490266182</c:v>
                </c:pt>
                <c:pt idx="97">
                  <c:v>4.5269357027608619</c:v>
                </c:pt>
                <c:pt idx="98">
                  <c:v>4.5267372935026451</c:v>
                </c:pt>
                <c:pt idx="99">
                  <c:v>4.5185754388620776</c:v>
                </c:pt>
                <c:pt idx="100">
                  <c:v>4.516040149030176</c:v>
                </c:pt>
                <c:pt idx="101">
                  <c:v>4.5146755955401705</c:v>
                </c:pt>
                <c:pt idx="102">
                  <c:v>4.5141859344126711</c:v>
                </c:pt>
                <c:pt idx="103">
                  <c:v>4.512170862750593</c:v>
                </c:pt>
                <c:pt idx="104">
                  <c:v>4.5168613465773459</c:v>
                </c:pt>
                <c:pt idx="105">
                  <c:v>4.5257087262249813</c:v>
                </c:pt>
                <c:pt idx="106">
                  <c:v>4.5271640062799161</c:v>
                </c:pt>
                <c:pt idx="107">
                  <c:v>4.5102506540688854</c:v>
                </c:pt>
                <c:pt idx="108">
                  <c:v>4.5109161809740979</c:v>
                </c:pt>
                <c:pt idx="109">
                  <c:v>4.5100924468099537</c:v>
                </c:pt>
                <c:pt idx="110">
                  <c:v>4.5104295927446643</c:v>
                </c:pt>
                <c:pt idx="111">
                  <c:v>4.5096804925848355</c:v>
                </c:pt>
                <c:pt idx="112">
                  <c:v>4.5091661309447728</c:v>
                </c:pt>
                <c:pt idx="113">
                  <c:v>4.5097466606925494</c:v>
                </c:pt>
                <c:pt idx="114">
                  <c:v>4.5186532267423649</c:v>
                </c:pt>
                <c:pt idx="115">
                  <c:v>4.5186992085772948</c:v>
                </c:pt>
                <c:pt idx="116">
                  <c:v>4.5187966674312969</c:v>
                </c:pt>
                <c:pt idx="117">
                  <c:v>4.5179059854917902</c:v>
                </c:pt>
                <c:pt idx="118">
                  <c:v>4.5169801109830408</c:v>
                </c:pt>
                <c:pt idx="119">
                  <c:v>4.5164049009702572</c:v>
                </c:pt>
                <c:pt idx="120">
                  <c:v>4.5182968559319612</c:v>
                </c:pt>
                <c:pt idx="121">
                  <c:v>4.5206959465132943</c:v>
                </c:pt>
                <c:pt idx="122">
                  <c:v>4.5031676631753008</c:v>
                </c:pt>
                <c:pt idx="123">
                  <c:v>4.4952442888008974</c:v>
                </c:pt>
                <c:pt idx="124">
                  <c:v>4.4952700482171739</c:v>
                </c:pt>
                <c:pt idx="125">
                  <c:v>4.4951481260569288</c:v>
                </c:pt>
                <c:pt idx="126">
                  <c:v>4.495388481965203</c:v>
                </c:pt>
                <c:pt idx="127">
                  <c:v>4.4957763205579555</c:v>
                </c:pt>
                <c:pt idx="128">
                  <c:v>4.4955103610586304</c:v>
                </c:pt>
                <c:pt idx="129">
                  <c:v>4.493662402796093</c:v>
                </c:pt>
                <c:pt idx="130">
                  <c:v>4.4932000866206563</c:v>
                </c:pt>
                <c:pt idx="131">
                  <c:v>4.4924609306479795</c:v>
                </c:pt>
                <c:pt idx="132">
                  <c:v>4.4969303577866233</c:v>
                </c:pt>
                <c:pt idx="133">
                  <c:v>4.4957957047484136</c:v>
                </c:pt>
                <c:pt idx="134">
                  <c:v>4.4941719691448299</c:v>
                </c:pt>
                <c:pt idx="135">
                  <c:v>4.4944081772901452</c:v>
                </c:pt>
                <c:pt idx="136">
                  <c:v>4.4766653520708006</c:v>
                </c:pt>
                <c:pt idx="137">
                  <c:v>4.4751033870195505</c:v>
                </c:pt>
                <c:pt idx="138">
                  <c:v>4.4749319358686588</c:v>
                </c:pt>
                <c:pt idx="139">
                  <c:v>4.4788645564433525</c:v>
                </c:pt>
                <c:pt idx="140">
                  <c:v>4.479548073350144</c:v>
                </c:pt>
                <c:pt idx="141">
                  <c:v>4.4823198937440916</c:v>
                </c:pt>
                <c:pt idx="142">
                  <c:v>4.4806466656228645</c:v>
                </c:pt>
                <c:pt idx="143">
                  <c:v>4.4792375368467425</c:v>
                </c:pt>
                <c:pt idx="144">
                  <c:v>4.4765122848436523</c:v>
                </c:pt>
                <c:pt idx="145">
                  <c:v>4.4845261005356232</c:v>
                </c:pt>
                <c:pt idx="146">
                  <c:v>4.4883831742878169</c:v>
                </c:pt>
                <c:pt idx="147">
                  <c:v>4.4858536754108025</c:v>
                </c:pt>
                <c:pt idx="148">
                  <c:v>4.4815378300638411</c:v>
                </c:pt>
                <c:pt idx="149">
                  <c:v>4.4818274293236584</c:v>
                </c:pt>
                <c:pt idx="150">
                  <c:v>4.4819976752600201</c:v>
                </c:pt>
                <c:pt idx="151">
                  <c:v>4.4822634568695756</c:v>
                </c:pt>
                <c:pt idx="152">
                  <c:v>4.482311870544982</c:v>
                </c:pt>
                <c:pt idx="153">
                  <c:v>4.479340204452706</c:v>
                </c:pt>
                <c:pt idx="154">
                  <c:v>4.4783726959618058</c:v>
                </c:pt>
                <c:pt idx="155">
                  <c:v>4.4681166713857667</c:v>
                </c:pt>
                <c:pt idx="156">
                  <c:v>4.4673906795632989</c:v>
                </c:pt>
                <c:pt idx="157">
                  <c:v>4.4654904600380743</c:v>
                </c:pt>
                <c:pt idx="158">
                  <c:v>4.4641436349523484</c:v>
                </c:pt>
                <c:pt idx="159">
                  <c:v>4.4646788486376501</c:v>
                </c:pt>
                <c:pt idx="160">
                  <c:v>4.4770240235324756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C1-4E65-B1EF-D4289567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940536"/>
        <c:axId val="830940208"/>
      </c:scatterChart>
      <c:valAx>
        <c:axId val="830940536"/>
        <c:scaling>
          <c:orientation val="minMax"/>
          <c:min val="2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z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40208"/>
        <c:crosses val="autoZero"/>
        <c:crossBetween val="midCat"/>
      </c:valAx>
      <c:valAx>
        <c:axId val="830940208"/>
        <c:scaling>
          <c:orientation val="minMax"/>
          <c:max val="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Thermal Efficiency Ratio Re=2000/water (Re=1000)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40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82568657076992"/>
          <c:y val="0.20150457781406086"/>
          <c:w val="0.79904860606493777"/>
          <c:h val="6.27094690086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5</xdr:row>
      <xdr:rowOff>152400</xdr:rowOff>
    </xdr:from>
    <xdr:to>
      <xdr:col>12</xdr:col>
      <xdr:colOff>563880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6FBA2-2540-4C8D-8999-80614E1B3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373380</xdr:colOff>
      <xdr:row>4</xdr:row>
      <xdr:rowOff>72390</xdr:rowOff>
    </xdr:from>
    <xdr:to>
      <xdr:col>17</xdr:col>
      <xdr:colOff>259080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05F38-ACC6-4CB3-AD63-847B885D0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449580</xdr:colOff>
      <xdr:row>23</xdr:row>
      <xdr:rowOff>121920</xdr:rowOff>
    </xdr:from>
    <xdr:to>
      <xdr:col>17</xdr:col>
      <xdr:colOff>335280</xdr:colOff>
      <xdr:row>42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390012-F7AD-452B-B5E9-723BD4EF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opLeftCell="E1" workbookViewId="0">
      <selection activeCell="O22" sqref="O22"/>
    </sheetView>
  </sheetViews>
  <sheetFormatPr defaultRowHeight="14.4" x14ac:dyDescent="0.3"/>
  <cols>
    <col min="1" max="1" width="12.88671875" bestFit="1" customWidth="1"/>
    <col min="2" max="3" width="12.88671875" customWidth="1"/>
    <col min="4" max="4" width="12.5546875" customWidth="1"/>
    <col min="14" max="14" width="12.6640625" customWidth="1"/>
    <col min="15" max="15" width="64.33203125" customWidth="1"/>
  </cols>
  <sheetData>
    <row r="1" spans="1:15" x14ac:dyDescent="0.3">
      <c r="A1" t="s">
        <v>15</v>
      </c>
      <c r="B1" t="s">
        <v>16</v>
      </c>
      <c r="C1" t="s">
        <v>17</v>
      </c>
      <c r="D1" t="s">
        <v>18</v>
      </c>
    </row>
    <row r="2" spans="1:15" x14ac:dyDescent="0.3">
      <c r="A2">
        <v>112.58</v>
      </c>
      <c r="B2">
        <v>108.01</v>
      </c>
      <c r="C2">
        <v>112.68</v>
      </c>
      <c r="D2">
        <v>118.47</v>
      </c>
      <c r="G2">
        <f>AVERAGE(D9:D56)</f>
        <v>29.961399999999998</v>
      </c>
      <c r="I2" t="s">
        <v>4</v>
      </c>
      <c r="J2" t="s">
        <v>1</v>
      </c>
      <c r="K2" t="s">
        <v>2</v>
      </c>
      <c r="L2" t="s">
        <v>0</v>
      </c>
    </row>
    <row r="3" spans="1:15" x14ac:dyDescent="0.3">
      <c r="A3">
        <v>105.07</v>
      </c>
      <c r="B3">
        <v>98.977000000000004</v>
      </c>
      <c r="C3">
        <v>98.162000000000006</v>
      </c>
      <c r="D3">
        <v>98.278000000000006</v>
      </c>
      <c r="H3" t="s">
        <v>3</v>
      </c>
      <c r="I3">
        <f>AVERAGE(A2:A78)</f>
        <v>44.487519480519481</v>
      </c>
      <c r="J3">
        <f>AVERAGE(B2:B62)</f>
        <v>41.726098360655755</v>
      </c>
      <c r="K3">
        <f>AVERAGE(C2:C42)</f>
        <v>40.217146341463398</v>
      </c>
      <c r="L3">
        <f>AVERAGE(D2:D33)</f>
        <v>39.967499999999994</v>
      </c>
    </row>
    <row r="4" spans="1:15" x14ac:dyDescent="0.3">
      <c r="A4">
        <v>98.126000000000005</v>
      </c>
      <c r="B4">
        <v>90.795000000000002</v>
      </c>
      <c r="C4">
        <v>85.896000000000001</v>
      </c>
      <c r="D4">
        <v>82.405000000000001</v>
      </c>
      <c r="I4">
        <f>I3-L3</f>
        <v>4.5200194805194869</v>
      </c>
      <c r="J4">
        <f>I3-J3</f>
        <v>2.7614211198637264</v>
      </c>
      <c r="K4">
        <f>J3-K3</f>
        <v>1.5089520191923569</v>
      </c>
      <c r="L4">
        <f>K3-L3</f>
        <v>0.24964634146340359</v>
      </c>
    </row>
    <row r="5" spans="1:15" x14ac:dyDescent="0.3">
      <c r="A5">
        <v>91.762</v>
      </c>
      <c r="B5">
        <v>83.492999999999995</v>
      </c>
      <c r="C5">
        <v>75.706999999999994</v>
      </c>
      <c r="D5">
        <v>70.100999999999999</v>
      </c>
    </row>
    <row r="6" spans="1:15" x14ac:dyDescent="0.3">
      <c r="A6">
        <v>85.983999999999995</v>
      </c>
      <c r="B6">
        <v>77.015000000000001</v>
      </c>
      <c r="C6">
        <v>67.311999999999998</v>
      </c>
      <c r="D6">
        <v>60.527999999999999</v>
      </c>
    </row>
    <row r="7" spans="1:15" x14ac:dyDescent="0.3">
      <c r="A7">
        <v>80.662000000000006</v>
      </c>
      <c r="B7">
        <v>71.224000000000004</v>
      </c>
      <c r="C7">
        <v>60.347000000000001</v>
      </c>
      <c r="D7">
        <v>53.005000000000003</v>
      </c>
    </row>
    <row r="8" spans="1:15" x14ac:dyDescent="0.3">
      <c r="A8">
        <v>75.894999999999996</v>
      </c>
      <c r="B8">
        <v>66.177999999999997</v>
      </c>
      <c r="C8">
        <v>54.607999999999997</v>
      </c>
      <c r="D8">
        <v>47.137999999999998</v>
      </c>
      <c r="N8" t="s">
        <v>4</v>
      </c>
      <c r="O8" t="s">
        <v>11</v>
      </c>
    </row>
    <row r="9" spans="1:15" x14ac:dyDescent="0.3">
      <c r="A9">
        <v>71.539000000000001</v>
      </c>
      <c r="B9">
        <v>61.695</v>
      </c>
      <c r="C9">
        <v>49.832000000000001</v>
      </c>
      <c r="D9">
        <v>42.459000000000003</v>
      </c>
      <c r="N9" t="s">
        <v>1</v>
      </c>
      <c r="O9" t="s">
        <v>12</v>
      </c>
    </row>
    <row r="10" spans="1:15" x14ac:dyDescent="0.3">
      <c r="A10">
        <v>67.58</v>
      </c>
      <c r="B10">
        <v>57.731000000000002</v>
      </c>
      <c r="C10">
        <v>45.834000000000003</v>
      </c>
      <c r="D10">
        <v>38.698</v>
      </c>
      <c r="N10" t="s">
        <v>2</v>
      </c>
      <c r="O10" t="s">
        <v>13</v>
      </c>
    </row>
    <row r="11" spans="1:15" x14ac:dyDescent="0.3">
      <c r="A11">
        <v>64.007999999999996</v>
      </c>
      <c r="B11">
        <v>54.253999999999998</v>
      </c>
      <c r="C11">
        <v>42.463000000000001</v>
      </c>
      <c r="D11">
        <v>35.677</v>
      </c>
      <c r="N11" t="s">
        <v>0</v>
      </c>
      <c r="O11" t="s">
        <v>14</v>
      </c>
    </row>
    <row r="12" spans="1:15" x14ac:dyDescent="0.3">
      <c r="A12">
        <v>60.744</v>
      </c>
      <c r="B12">
        <v>51.143999999999998</v>
      </c>
      <c r="C12">
        <v>39.597999999999999</v>
      </c>
      <c r="D12">
        <v>33.180999999999997</v>
      </c>
    </row>
    <row r="13" spans="1:15" x14ac:dyDescent="0.3">
      <c r="A13">
        <v>57.801000000000002</v>
      </c>
      <c r="B13">
        <v>48.402000000000001</v>
      </c>
      <c r="C13">
        <v>37.164999999999999</v>
      </c>
      <c r="D13">
        <v>31.169</v>
      </c>
    </row>
    <row r="14" spans="1:15" x14ac:dyDescent="0.3">
      <c r="A14">
        <v>55.121000000000002</v>
      </c>
      <c r="B14">
        <v>45.951000000000001</v>
      </c>
      <c r="C14">
        <v>35.109000000000002</v>
      </c>
      <c r="D14">
        <v>29.562000000000001</v>
      </c>
    </row>
    <row r="15" spans="1:15" x14ac:dyDescent="0.3">
      <c r="A15">
        <v>52.682000000000002</v>
      </c>
      <c r="B15">
        <v>43.783999999999999</v>
      </c>
      <c r="C15">
        <v>33.351999999999997</v>
      </c>
      <c r="D15">
        <v>28.218</v>
      </c>
    </row>
    <row r="16" spans="1:15" x14ac:dyDescent="0.3">
      <c r="A16">
        <v>50.466000000000001</v>
      </c>
      <c r="B16">
        <v>41.838000000000001</v>
      </c>
      <c r="C16">
        <v>31.853000000000002</v>
      </c>
      <c r="D16">
        <v>27.123999999999999</v>
      </c>
    </row>
    <row r="17" spans="1:4" x14ac:dyDescent="0.3">
      <c r="A17">
        <v>48.451999999999998</v>
      </c>
      <c r="B17">
        <v>40.085000000000001</v>
      </c>
      <c r="C17">
        <v>30.593</v>
      </c>
      <c r="D17">
        <v>26.292999999999999</v>
      </c>
    </row>
    <row r="18" spans="1:4" x14ac:dyDescent="0.3">
      <c r="A18">
        <v>46.619</v>
      </c>
      <c r="B18">
        <v>38.518000000000001</v>
      </c>
      <c r="C18">
        <v>29.518999999999998</v>
      </c>
      <c r="D18">
        <v>25.65</v>
      </c>
    </row>
    <row r="19" spans="1:4" x14ac:dyDescent="0.3">
      <c r="A19">
        <v>44.942</v>
      </c>
      <c r="B19">
        <v>37.101999999999997</v>
      </c>
      <c r="C19">
        <v>28.617999999999999</v>
      </c>
      <c r="D19">
        <v>25.173999999999999</v>
      </c>
    </row>
    <row r="20" spans="1:4" x14ac:dyDescent="0.3">
      <c r="A20">
        <v>43.417000000000002</v>
      </c>
      <c r="B20">
        <v>35.838000000000001</v>
      </c>
      <c r="C20">
        <v>27.870999999999999</v>
      </c>
      <c r="D20">
        <v>24.914000000000001</v>
      </c>
    </row>
    <row r="21" spans="1:4" x14ac:dyDescent="0.3">
      <c r="A21">
        <v>42.018999999999998</v>
      </c>
      <c r="B21">
        <v>34.709000000000003</v>
      </c>
      <c r="C21">
        <v>27.248999999999999</v>
      </c>
      <c r="D21">
        <v>24.811</v>
      </c>
    </row>
    <row r="22" spans="1:4" x14ac:dyDescent="0.3">
      <c r="A22">
        <v>40.747</v>
      </c>
      <c r="B22">
        <v>33.689</v>
      </c>
      <c r="C22">
        <v>26.736999999999998</v>
      </c>
      <c r="D22">
        <v>24.826000000000001</v>
      </c>
    </row>
    <row r="23" spans="1:4" x14ac:dyDescent="0.3">
      <c r="A23">
        <v>39.582999999999998</v>
      </c>
      <c r="B23">
        <v>32.783000000000001</v>
      </c>
      <c r="C23">
        <v>26.353999999999999</v>
      </c>
      <c r="D23">
        <v>25.03</v>
      </c>
    </row>
    <row r="24" spans="1:4" x14ac:dyDescent="0.3">
      <c r="A24">
        <v>38.512</v>
      </c>
      <c r="B24">
        <v>31.972000000000001</v>
      </c>
      <c r="C24">
        <v>26.08</v>
      </c>
      <c r="D24">
        <v>25.411999999999999</v>
      </c>
    </row>
    <row r="25" spans="1:4" x14ac:dyDescent="0.3">
      <c r="A25">
        <v>37.536000000000001</v>
      </c>
      <c r="B25">
        <v>31.23</v>
      </c>
      <c r="C25">
        <v>25.887</v>
      </c>
      <c r="D25">
        <v>25.934000000000001</v>
      </c>
    </row>
    <row r="26" spans="1:4" x14ac:dyDescent="0.3">
      <c r="A26">
        <v>36.640999999999998</v>
      </c>
      <c r="B26">
        <v>30.584</v>
      </c>
      <c r="C26">
        <v>25.815000000000001</v>
      </c>
      <c r="D26">
        <v>26.664999999999999</v>
      </c>
    </row>
    <row r="27" spans="1:4" x14ac:dyDescent="0.3">
      <c r="A27">
        <v>35.817</v>
      </c>
      <c r="B27">
        <v>30.010999999999999</v>
      </c>
      <c r="C27">
        <v>25.843</v>
      </c>
      <c r="D27">
        <v>27.638000000000002</v>
      </c>
    </row>
    <row r="28" spans="1:4" x14ac:dyDescent="0.3">
      <c r="A28">
        <v>35.067999999999998</v>
      </c>
      <c r="B28">
        <v>29.506</v>
      </c>
      <c r="C28">
        <v>25.960999999999999</v>
      </c>
      <c r="D28">
        <v>28.824999999999999</v>
      </c>
    </row>
    <row r="29" spans="1:4" x14ac:dyDescent="0.3">
      <c r="A29">
        <v>34.377000000000002</v>
      </c>
      <c r="B29">
        <v>29.079000000000001</v>
      </c>
      <c r="C29">
        <v>26.195</v>
      </c>
      <c r="D29">
        <v>30.27</v>
      </c>
    </row>
    <row r="30" spans="1:4" x14ac:dyDescent="0.3">
      <c r="A30">
        <v>33.746000000000002</v>
      </c>
      <c r="B30">
        <v>28.699000000000002</v>
      </c>
      <c r="C30">
        <v>26.545999999999999</v>
      </c>
      <c r="D30">
        <v>32.07</v>
      </c>
    </row>
    <row r="31" spans="1:4" x14ac:dyDescent="0.3">
      <c r="A31">
        <v>33.177999999999997</v>
      </c>
      <c r="B31">
        <v>28.39</v>
      </c>
      <c r="C31">
        <v>27.001000000000001</v>
      </c>
      <c r="D31">
        <v>34.131</v>
      </c>
    </row>
    <row r="32" spans="1:4" x14ac:dyDescent="0.3">
      <c r="A32">
        <v>32.654000000000003</v>
      </c>
      <c r="B32">
        <v>28.137</v>
      </c>
      <c r="C32">
        <v>27.591000000000001</v>
      </c>
      <c r="D32">
        <v>36.408000000000001</v>
      </c>
    </row>
    <row r="33" spans="1:4" x14ac:dyDescent="0.3">
      <c r="A33">
        <v>32.186</v>
      </c>
      <c r="B33">
        <v>27.927</v>
      </c>
      <c r="C33">
        <v>28.33</v>
      </c>
      <c r="D33">
        <v>38.896000000000001</v>
      </c>
    </row>
    <row r="34" spans="1:4" x14ac:dyDescent="0.3">
      <c r="A34">
        <v>31.759</v>
      </c>
      <c r="B34">
        <v>27.77</v>
      </c>
      <c r="C34">
        <v>29.196999999999999</v>
      </c>
    </row>
    <row r="35" spans="1:4" x14ac:dyDescent="0.3">
      <c r="A35">
        <v>31.382999999999999</v>
      </c>
      <c r="B35">
        <v>27.664999999999999</v>
      </c>
      <c r="C35">
        <v>30.222000000000001</v>
      </c>
    </row>
    <row r="36" spans="1:4" x14ac:dyDescent="0.3">
      <c r="A36">
        <v>31.050999999999998</v>
      </c>
      <c r="B36">
        <v>27.602</v>
      </c>
      <c r="C36">
        <v>31.452000000000002</v>
      </c>
    </row>
    <row r="37" spans="1:4" x14ac:dyDescent="0.3">
      <c r="A37">
        <v>30.751999999999999</v>
      </c>
      <c r="B37">
        <v>27.603999999999999</v>
      </c>
      <c r="C37">
        <v>32.857999999999997</v>
      </c>
    </row>
    <row r="38" spans="1:4" x14ac:dyDescent="0.3">
      <c r="A38">
        <v>30.495000000000001</v>
      </c>
      <c r="B38">
        <v>27.658999999999999</v>
      </c>
      <c r="C38">
        <v>34.475000000000001</v>
      </c>
    </row>
    <row r="39" spans="1:4" x14ac:dyDescent="0.3">
      <c r="A39">
        <v>30.282</v>
      </c>
      <c r="B39">
        <v>27.763999999999999</v>
      </c>
      <c r="C39">
        <v>36.35</v>
      </c>
    </row>
    <row r="40" spans="1:4" x14ac:dyDescent="0.3">
      <c r="A40">
        <v>30.097999999999999</v>
      </c>
      <c r="B40">
        <v>27.936</v>
      </c>
      <c r="C40">
        <v>38.427</v>
      </c>
    </row>
    <row r="41" spans="1:4" x14ac:dyDescent="0.3">
      <c r="A41">
        <v>29.96</v>
      </c>
      <c r="B41">
        <v>28.151</v>
      </c>
      <c r="C41">
        <v>40.691000000000003</v>
      </c>
    </row>
    <row r="42" spans="1:4" x14ac:dyDescent="0.3">
      <c r="A42">
        <v>29.847999999999999</v>
      </c>
      <c r="B42">
        <v>28.42</v>
      </c>
      <c r="C42">
        <v>43.122999999999998</v>
      </c>
    </row>
    <row r="43" spans="1:4" x14ac:dyDescent="0.3">
      <c r="A43">
        <v>29.776</v>
      </c>
      <c r="B43">
        <v>28.748999999999999</v>
      </c>
    </row>
    <row r="44" spans="1:4" x14ac:dyDescent="0.3">
      <c r="A44">
        <v>29.744</v>
      </c>
      <c r="B44">
        <v>29.131</v>
      </c>
    </row>
    <row r="45" spans="1:4" x14ac:dyDescent="0.3">
      <c r="A45">
        <v>29.745000000000001</v>
      </c>
      <c r="B45">
        <v>29.579000000000001</v>
      </c>
    </row>
    <row r="46" spans="1:4" x14ac:dyDescent="0.3">
      <c r="A46">
        <v>29.78</v>
      </c>
      <c r="B46">
        <v>30.096</v>
      </c>
    </row>
    <row r="47" spans="1:4" x14ac:dyDescent="0.3">
      <c r="A47">
        <v>29.853999999999999</v>
      </c>
      <c r="B47">
        <v>30.670999999999999</v>
      </c>
    </row>
    <row r="48" spans="1:4" x14ac:dyDescent="0.3">
      <c r="A48">
        <v>29.954000000000001</v>
      </c>
      <c r="B48">
        <v>31.346</v>
      </c>
    </row>
    <row r="49" spans="1:2" x14ac:dyDescent="0.3">
      <c r="A49">
        <v>30.094000000000001</v>
      </c>
      <c r="B49">
        <v>32.085999999999999</v>
      </c>
    </row>
    <row r="50" spans="1:2" x14ac:dyDescent="0.3">
      <c r="A50">
        <v>30.262</v>
      </c>
      <c r="B50">
        <v>32.905999999999999</v>
      </c>
    </row>
    <row r="51" spans="1:2" x14ac:dyDescent="0.3">
      <c r="A51">
        <v>30.469000000000001</v>
      </c>
      <c r="B51">
        <v>33.831000000000003</v>
      </c>
    </row>
    <row r="52" spans="1:2" x14ac:dyDescent="0.3">
      <c r="A52">
        <v>30.713000000000001</v>
      </c>
      <c r="B52">
        <v>34.841999999999999</v>
      </c>
    </row>
    <row r="53" spans="1:2" x14ac:dyDescent="0.3">
      <c r="A53">
        <v>30.99</v>
      </c>
      <c r="B53">
        <v>35.969000000000001</v>
      </c>
    </row>
    <row r="54" spans="1:2" x14ac:dyDescent="0.3">
      <c r="A54">
        <v>31.315999999999999</v>
      </c>
      <c r="B54">
        <v>37.219000000000001</v>
      </c>
    </row>
    <row r="55" spans="1:2" x14ac:dyDescent="0.3">
      <c r="A55">
        <v>31.678000000000001</v>
      </c>
      <c r="B55">
        <v>38.600999999999999</v>
      </c>
    </row>
    <row r="56" spans="1:2" x14ac:dyDescent="0.3">
      <c r="A56">
        <v>32.08</v>
      </c>
      <c r="B56">
        <v>40.131999999999998</v>
      </c>
    </row>
    <row r="57" spans="1:2" x14ac:dyDescent="0.3">
      <c r="A57">
        <v>32.54</v>
      </c>
      <c r="B57">
        <v>41.802</v>
      </c>
    </row>
    <row r="58" spans="1:2" x14ac:dyDescent="0.3">
      <c r="A58">
        <v>33.043999999999997</v>
      </c>
      <c r="B58">
        <v>43.631999999999998</v>
      </c>
    </row>
    <row r="59" spans="1:2" x14ac:dyDescent="0.3">
      <c r="A59">
        <v>33.598999999999997</v>
      </c>
      <c r="B59">
        <v>45.591999999999999</v>
      </c>
    </row>
    <row r="60" spans="1:2" x14ac:dyDescent="0.3">
      <c r="A60">
        <v>34.222000000000001</v>
      </c>
      <c r="B60">
        <v>47.68</v>
      </c>
    </row>
    <row r="61" spans="1:2" x14ac:dyDescent="0.3">
      <c r="A61">
        <v>34.898000000000003</v>
      </c>
      <c r="B61">
        <v>49.896000000000001</v>
      </c>
    </row>
    <row r="62" spans="1:2" x14ac:dyDescent="0.3">
      <c r="A62">
        <v>35.637999999999998</v>
      </c>
      <c r="B62">
        <v>52.210999999999999</v>
      </c>
    </row>
    <row r="63" spans="1:2" x14ac:dyDescent="0.3">
      <c r="A63">
        <v>36.432000000000002</v>
      </c>
    </row>
    <row r="64" spans="1:2" x14ac:dyDescent="0.3">
      <c r="A64">
        <v>37.298000000000002</v>
      </c>
    </row>
    <row r="65" spans="1:1" x14ac:dyDescent="0.3">
      <c r="A65">
        <v>38.237000000000002</v>
      </c>
    </row>
    <row r="66" spans="1:1" x14ac:dyDescent="0.3">
      <c r="A66">
        <v>39.249000000000002</v>
      </c>
    </row>
    <row r="67" spans="1:1" x14ac:dyDescent="0.3">
      <c r="A67">
        <v>40.353000000000002</v>
      </c>
    </row>
    <row r="68" spans="1:1" x14ac:dyDescent="0.3">
      <c r="A68">
        <v>41.537999999999997</v>
      </c>
    </row>
    <row r="69" spans="1:1" x14ac:dyDescent="0.3">
      <c r="A69">
        <v>42.814</v>
      </c>
    </row>
    <row r="70" spans="1:1" x14ac:dyDescent="0.3">
      <c r="A70">
        <v>44.177</v>
      </c>
    </row>
    <row r="71" spans="1:1" x14ac:dyDescent="0.3">
      <c r="A71">
        <v>45.637999999999998</v>
      </c>
    </row>
    <row r="72" spans="1:1" x14ac:dyDescent="0.3">
      <c r="A72">
        <v>47.197000000000003</v>
      </c>
    </row>
    <row r="73" spans="1:1" x14ac:dyDescent="0.3">
      <c r="A73">
        <v>48.847000000000001</v>
      </c>
    </row>
    <row r="74" spans="1:1" x14ac:dyDescent="0.3">
      <c r="A74">
        <v>50.603999999999999</v>
      </c>
    </row>
    <row r="75" spans="1:1" x14ac:dyDescent="0.3">
      <c r="A75">
        <v>52.441000000000003</v>
      </c>
    </row>
    <row r="76" spans="1:1" x14ac:dyDescent="0.3">
      <c r="A76">
        <v>54.372</v>
      </c>
    </row>
    <row r="77" spans="1:1" x14ac:dyDescent="0.3">
      <c r="A77">
        <v>56.377000000000002</v>
      </c>
    </row>
    <row r="78" spans="1:1" x14ac:dyDescent="0.3">
      <c r="A78">
        <v>58.427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6451-F557-490C-95D6-3194F8AC0C66}">
  <dimension ref="A1:U365"/>
  <sheetViews>
    <sheetView tabSelected="1" topLeftCell="F13" workbookViewId="0">
      <selection activeCell="K2" sqref="K2:K162"/>
    </sheetView>
  </sheetViews>
  <sheetFormatPr defaultRowHeight="14.4" x14ac:dyDescent="0.3"/>
  <cols>
    <col min="6" max="6" width="12.33203125" style="4" customWidth="1"/>
    <col min="7" max="8" width="10.109375" style="4" customWidth="1"/>
    <col min="9" max="9" width="10.33203125" style="4" customWidth="1"/>
    <col min="10" max="10" width="10.33203125" style="6" customWidth="1"/>
    <col min="11" max="11" width="8.88671875" style="8"/>
    <col min="12" max="12" width="8.88671875" style="9"/>
    <col min="14" max="14" width="15.5546875" customWidth="1"/>
    <col min="15" max="15" width="10.21875" customWidth="1"/>
    <col min="16" max="16" width="11.5546875" customWidth="1"/>
    <col min="17" max="17" width="13.44140625" customWidth="1"/>
  </cols>
  <sheetData>
    <row r="1" spans="1:21" x14ac:dyDescent="0.3">
      <c r="A1" t="s">
        <v>5</v>
      </c>
      <c r="B1" t="s">
        <v>6</v>
      </c>
      <c r="C1" t="s">
        <v>7</v>
      </c>
      <c r="D1" t="s">
        <v>20</v>
      </c>
      <c r="E1" t="s">
        <v>19</v>
      </c>
      <c r="F1" s="4" t="s">
        <v>10</v>
      </c>
      <c r="M1" t="s">
        <v>9</v>
      </c>
      <c r="N1" t="s">
        <v>8</v>
      </c>
      <c r="R1" t="s">
        <v>6</v>
      </c>
      <c r="S1" t="s">
        <v>7</v>
      </c>
      <c r="T1" t="s">
        <v>20</v>
      </c>
      <c r="U1" t="s">
        <v>19</v>
      </c>
    </row>
    <row r="2" spans="1:21" x14ac:dyDescent="0.3">
      <c r="A2" s="2">
        <v>27.2</v>
      </c>
      <c r="B2">
        <v>3.4748000000000001E-2</v>
      </c>
      <c r="C2">
        <v>1.3195999999999999E-2</v>
      </c>
      <c r="D2">
        <v>3.4216000000000003E-2</v>
      </c>
      <c r="E2">
        <v>1.2817E-2</v>
      </c>
      <c r="F2" s="5">
        <f>(N$2*$A2)/(B2*$M$2)</f>
        <v>2361.319268769987</v>
      </c>
      <c r="G2" s="5">
        <f>(O$2*$A2)/(C2*$M$2)</f>
        <v>8886.2005485771733</v>
      </c>
      <c r="H2" s="5">
        <f>(P$2*$A2)/(D2*$M$2)</f>
        <v>3129.4014496142158</v>
      </c>
      <c r="I2" s="5">
        <f>(Q$2*$A2)/(E2*$M$2)</f>
        <v>11044.275419269752</v>
      </c>
      <c r="J2" s="7">
        <f>G2/F2</f>
        <v>3.7632355209662105</v>
      </c>
      <c r="K2" s="8">
        <f>I2/H2</f>
        <v>3.529197387133332</v>
      </c>
      <c r="L2" s="8">
        <f>I2/F2</f>
        <v>4.6771631288227802</v>
      </c>
      <c r="M2" s="1">
        <f>3.4*2</f>
        <v>6.8</v>
      </c>
      <c r="N2" s="3">
        <f>AVERAGE(R2:R93)</f>
        <v>20.512780487804879</v>
      </c>
      <c r="O2" s="3">
        <f>AVERAGE(S2:S93)</f>
        <v>29.315575609756092</v>
      </c>
      <c r="P2" s="3">
        <f>AVERAGE(T2:T93)</f>
        <v>26.768900000000002</v>
      </c>
      <c r="Q2" s="3">
        <f>AVERAGE(U2:U93)</f>
        <v>35.388619512195106</v>
      </c>
      <c r="R2" s="1">
        <v>-4.8005E-14</v>
      </c>
      <c r="S2" s="1">
        <v>-8.3336999999999999E-14</v>
      </c>
      <c r="T2" s="1">
        <v>-6.6381999999999997E-14</v>
      </c>
      <c r="U2" s="1">
        <v>-1.1063E-13</v>
      </c>
    </row>
    <row r="3" spans="1:21" x14ac:dyDescent="0.3">
      <c r="A3" s="2">
        <v>27.881</v>
      </c>
      <c r="B3">
        <v>3.4460999999999999E-2</v>
      </c>
      <c r="C3">
        <v>1.3129999999999999E-2</v>
      </c>
      <c r="D3">
        <v>3.3936000000000001E-2</v>
      </c>
      <c r="E3">
        <v>1.2754E-2</v>
      </c>
      <c r="F3" s="5">
        <f>(N$2*$A3)/(B3*$M$2)</f>
        <v>2440.5970977442862</v>
      </c>
      <c r="G3" s="5">
        <f>(O$2*$A3)/(C3*$M$2)</f>
        <v>9154.4684778416031</v>
      </c>
      <c r="H3" s="5">
        <f>(P$2*$A3)/(D3*$M$2)</f>
        <v>3234.2181342215108</v>
      </c>
      <c r="I3" s="5">
        <f>(Q$2*$A3)/(E3*$M$2)</f>
        <v>11376.708813607633</v>
      </c>
      <c r="J3" s="7">
        <f>G3/F3</f>
        <v>3.750913449132014</v>
      </c>
      <c r="K3" s="8">
        <f t="shared" ref="K3:K66" si="0">I3/H3</f>
        <v>3.5176071438193368</v>
      </c>
      <c r="L3" s="8">
        <f t="shared" ref="L3:L66" si="1">I3/F3</f>
        <v>4.6614448669641204</v>
      </c>
      <c r="N3" s="3" t="s">
        <v>6</v>
      </c>
      <c r="O3" s="3" t="s">
        <v>7</v>
      </c>
      <c r="P3" s="3" t="s">
        <v>20</v>
      </c>
      <c r="Q3" s="3" t="s">
        <v>19</v>
      </c>
      <c r="R3">
        <v>9.1755999999999993</v>
      </c>
      <c r="S3">
        <v>15.4</v>
      </c>
      <c r="T3">
        <v>12.509</v>
      </c>
      <c r="U3">
        <v>20.099</v>
      </c>
    </row>
    <row r="4" spans="1:21" x14ac:dyDescent="0.3">
      <c r="A4" s="2">
        <v>28.013000000000002</v>
      </c>
      <c r="B4">
        <v>3.4405999999999999E-2</v>
      </c>
      <c r="C4">
        <v>1.3117E-2</v>
      </c>
      <c r="D4">
        <v>3.3883000000000003E-2</v>
      </c>
      <c r="E4">
        <v>1.2742E-2</v>
      </c>
      <c r="F4" s="5">
        <f>(N$2*$A4)/(B4*$M$2)</f>
        <v>2456.0717855507337</v>
      </c>
      <c r="G4" s="5">
        <f>(O$2*$A4)/(C4*$M$2)</f>
        <v>9206.9252245188945</v>
      </c>
      <c r="H4" s="5">
        <f>(P$2*$A4)/(D4*$M$2)</f>
        <v>3254.6131744879876</v>
      </c>
      <c r="I4" s="5">
        <f>(Q$2*$A4)/(E4*$M$2)</f>
        <v>11441.335721549871</v>
      </c>
      <c r="J4" s="7">
        <f t="shared" ref="J4:J66" si="2">G4/F4</f>
        <v>3.7486384879643868</v>
      </c>
      <c r="K4" s="8">
        <f t="shared" si="0"/>
        <v>3.5154210679276225</v>
      </c>
      <c r="L4" s="8">
        <f t="shared" si="1"/>
        <v>4.6583881582208475</v>
      </c>
      <c r="R4">
        <v>15.634</v>
      </c>
      <c r="S4">
        <v>25.437999999999999</v>
      </c>
      <c r="T4">
        <v>21.052</v>
      </c>
      <c r="U4">
        <v>32.716999999999999</v>
      </c>
    </row>
    <row r="5" spans="1:21" x14ac:dyDescent="0.3">
      <c r="A5" s="2">
        <v>28.036999999999999</v>
      </c>
      <c r="B5">
        <v>3.4426999999999999E-2</v>
      </c>
      <c r="C5">
        <v>1.3126000000000001E-2</v>
      </c>
      <c r="D5">
        <v>3.3903999999999997E-2</v>
      </c>
      <c r="E5">
        <v>1.2749999999999999E-2</v>
      </c>
      <c r="F5" s="5">
        <f>(N$2*$A5)/(B5*$M$2)</f>
        <v>2456.6765591669046</v>
      </c>
      <c r="G5" s="5">
        <f>(O$2*$A5)/(C5*$M$2)</f>
        <v>9208.4949647615813</v>
      </c>
      <c r="H5" s="5">
        <f>(P$2*$A5)/(D5*$M$2)</f>
        <v>3255.3839270223198</v>
      </c>
      <c r="I5" s="5">
        <f>(Q$2*$A5)/(E5*$M$2)</f>
        <v>11443.953001884825</v>
      </c>
      <c r="J5" s="7">
        <f t="shared" si="2"/>
        <v>3.7483546339874381</v>
      </c>
      <c r="K5" s="8">
        <f t="shared" si="0"/>
        <v>3.5153927335239197</v>
      </c>
      <c r="L5" s="8">
        <f t="shared" si="1"/>
        <v>4.6583067515268022</v>
      </c>
      <c r="R5">
        <v>20.106000000000002</v>
      </c>
      <c r="S5">
        <v>31.87</v>
      </c>
      <c r="T5">
        <v>26.803999999999998</v>
      </c>
      <c r="U5">
        <v>40.497</v>
      </c>
    </row>
    <row r="6" spans="1:21" x14ac:dyDescent="0.3">
      <c r="A6" s="2">
        <v>28.065999999999999</v>
      </c>
      <c r="B6">
        <v>3.4418999999999998E-2</v>
      </c>
      <c r="C6">
        <v>1.3124E-2</v>
      </c>
      <c r="D6">
        <v>3.3896000000000003E-2</v>
      </c>
      <c r="E6">
        <v>1.2749E-2</v>
      </c>
      <c r="F6" s="5">
        <f>(N$2*$A6)/(B6*$M$2)</f>
        <v>2459.7892117158772</v>
      </c>
      <c r="G6" s="5">
        <f>(O$2*$A6)/(C6*$M$2)</f>
        <v>9219.4245058829638</v>
      </c>
      <c r="H6" s="5">
        <f>(P$2*$A6)/(D6*$M$2)</f>
        <v>3259.5202427147401</v>
      </c>
      <c r="I6" s="5">
        <f>(Q$2*$A6)/(E6*$M$2)</f>
        <v>11456.688589523375</v>
      </c>
      <c r="J6" s="7">
        <f t="shared" si="2"/>
        <v>3.7480546958947603</v>
      </c>
      <c r="K6" s="8">
        <f t="shared" si="0"/>
        <v>3.5148389138339886</v>
      </c>
      <c r="L6" s="8">
        <f t="shared" si="1"/>
        <v>4.6575895751374254</v>
      </c>
      <c r="R6">
        <v>23.167000000000002</v>
      </c>
      <c r="S6">
        <v>35.954000000000001</v>
      </c>
      <c r="T6">
        <v>30.643999999999998</v>
      </c>
      <c r="U6">
        <v>45.232999999999997</v>
      </c>
    </row>
    <row r="7" spans="1:21" x14ac:dyDescent="0.3">
      <c r="A7" s="2">
        <v>28.091999999999999</v>
      </c>
      <c r="B7">
        <v>3.4432999999999998E-2</v>
      </c>
      <c r="C7">
        <v>1.3129999999999999E-2</v>
      </c>
      <c r="D7">
        <v>3.3910000000000003E-2</v>
      </c>
      <c r="E7">
        <v>1.2755000000000001E-2</v>
      </c>
      <c r="F7" s="5">
        <f>(N$2*$A7)/(B7*$M$2)</f>
        <v>2461.0668863462661</v>
      </c>
      <c r="G7" s="5">
        <f>(O$2*$A7)/(C7*$M$2)</f>
        <v>9223.7483762966294</v>
      </c>
      <c r="H7" s="5">
        <f>(P$2*$A7)/(D7*$M$2)</f>
        <v>3261.1928582580185</v>
      </c>
      <c r="I7" s="5">
        <f>(Q$2*$A7)/(E7*$M$2)</f>
        <v>11461.907664083115</v>
      </c>
      <c r="J7" s="7">
        <f>G7/F7</f>
        <v>3.7478657843348313</v>
      </c>
      <c r="K7" s="8">
        <f t="shared" si="0"/>
        <v>3.5146365646727031</v>
      </c>
      <c r="L7" s="8">
        <f t="shared" si="1"/>
        <v>4.6572922205700884</v>
      </c>
      <c r="R7">
        <v>25.210999999999999</v>
      </c>
      <c r="S7">
        <v>38.466999999999999</v>
      </c>
      <c r="T7">
        <v>33.140999999999998</v>
      </c>
      <c r="U7">
        <v>47.973999999999997</v>
      </c>
    </row>
    <row r="8" spans="1:21" x14ac:dyDescent="0.3">
      <c r="A8" s="2">
        <v>28.858000000000001</v>
      </c>
      <c r="B8">
        <v>3.5062000000000003E-2</v>
      </c>
      <c r="C8">
        <v>1.3368E-2</v>
      </c>
      <c r="D8">
        <v>3.4528999999999997E-2</v>
      </c>
      <c r="E8">
        <v>1.2985E-2</v>
      </c>
      <c r="F8" s="5">
        <f>(N$2*$A8)/(B8*$M$2)</f>
        <v>2482.8195906623946</v>
      </c>
      <c r="G8" s="5">
        <f>(O$2*$A8)/(C8*$M$2)</f>
        <v>9306.562653421046</v>
      </c>
      <c r="H8" s="5">
        <f>(P$2*$A8)/(D8*$M$2)</f>
        <v>3290.0601719270935</v>
      </c>
      <c r="I8" s="5">
        <f>(Q$2*$A8)/(E8*$M$2)</f>
        <v>11565.888036908269</v>
      </c>
      <c r="J8" s="7">
        <f t="shared" si="2"/>
        <v>3.7483845739021806</v>
      </c>
      <c r="K8" s="8">
        <f t="shared" si="0"/>
        <v>3.5154031940193233</v>
      </c>
      <c r="L8" s="8">
        <f t="shared" si="1"/>
        <v>4.6583682843514982</v>
      </c>
      <c r="R8">
        <v>26.562000000000001</v>
      </c>
      <c r="S8">
        <v>39.979999999999997</v>
      </c>
      <c r="T8">
        <v>34.758000000000003</v>
      </c>
      <c r="U8">
        <v>49.514000000000003</v>
      </c>
    </row>
    <row r="9" spans="1:21" x14ac:dyDescent="0.3">
      <c r="A9" s="2">
        <v>28.974</v>
      </c>
      <c r="B9">
        <v>3.5164000000000001E-2</v>
      </c>
      <c r="C9">
        <v>1.3406E-2</v>
      </c>
      <c r="D9">
        <v>3.4629E-2</v>
      </c>
      <c r="E9">
        <v>1.3022000000000001E-2</v>
      </c>
      <c r="F9" s="5">
        <f>(N$2*$A9)/(B9*$M$2)</f>
        <v>2485.5688883586595</v>
      </c>
      <c r="G9" s="5">
        <f>(O$2*$A9)/(C9*$M$2)</f>
        <v>9317.4861093482396</v>
      </c>
      <c r="H9" s="5">
        <f>(P$2*$A9)/(D9*$M$2)</f>
        <v>3293.746097711371</v>
      </c>
      <c r="I9" s="5">
        <f>(Q$2*$A9)/(E9*$M$2)</f>
        <v>11579.384455111496</v>
      </c>
      <c r="J9" s="7">
        <f t="shared" si="2"/>
        <v>3.7486332215483364</v>
      </c>
      <c r="K9" s="8">
        <f t="shared" si="0"/>
        <v>3.5155668080054272</v>
      </c>
      <c r="L9" s="8">
        <f t="shared" si="1"/>
        <v>4.6586455556892332</v>
      </c>
      <c r="R9">
        <v>27.414000000000001</v>
      </c>
      <c r="S9">
        <v>40.825000000000003</v>
      </c>
      <c r="T9">
        <v>35.752000000000002</v>
      </c>
      <c r="U9">
        <v>50.265000000000001</v>
      </c>
    </row>
    <row r="10" spans="1:21" x14ac:dyDescent="0.3">
      <c r="A10" s="2">
        <v>29.013999999999999</v>
      </c>
      <c r="B10">
        <v>3.5199000000000001E-2</v>
      </c>
      <c r="C10">
        <v>1.3419E-2</v>
      </c>
      <c r="D10">
        <v>3.4664E-2</v>
      </c>
      <c r="E10">
        <v>1.3035E-2</v>
      </c>
      <c r="F10" s="5">
        <f>(N$2*$A10)/(B10*$M$2)</f>
        <v>2486.5254071103736</v>
      </c>
      <c r="G10" s="5">
        <f>(O$2*$A10)/(C10*$M$2)</f>
        <v>9321.3103319422335</v>
      </c>
      <c r="H10" s="5">
        <f>(P$2*$A10)/(D10*$M$2)</f>
        <v>3294.963008749542</v>
      </c>
      <c r="I10" s="5">
        <f>(Q$2*$A10)/(E10*$M$2)</f>
        <v>11583.806116189771</v>
      </c>
      <c r="J10" s="7">
        <f t="shared" si="2"/>
        <v>3.7487291725583693</v>
      </c>
      <c r="K10" s="8">
        <f t="shared" si="0"/>
        <v>3.5156103681376059</v>
      </c>
      <c r="L10" s="8">
        <f t="shared" si="1"/>
        <v>4.6586317127768568</v>
      </c>
      <c r="R10">
        <v>27.911000000000001</v>
      </c>
      <c r="S10">
        <v>41.204999999999998</v>
      </c>
      <c r="T10">
        <v>36.307000000000002</v>
      </c>
      <c r="U10">
        <v>50.472000000000001</v>
      </c>
    </row>
    <row r="11" spans="1:21" x14ac:dyDescent="0.3">
      <c r="A11" s="2">
        <v>29.308</v>
      </c>
      <c r="B11">
        <v>3.5310000000000001E-2</v>
      </c>
      <c r="C11">
        <v>1.3467E-2</v>
      </c>
      <c r="D11">
        <v>3.4773999999999999E-2</v>
      </c>
      <c r="E11">
        <v>1.3082E-2</v>
      </c>
      <c r="F11" s="5">
        <f>(N$2*$A11)/(B11*$M$2)</f>
        <v>2503.8256556907118</v>
      </c>
      <c r="G11" s="5">
        <f>(O$2*$A11)/(C11*$M$2)</f>
        <v>9382.2032284880643</v>
      </c>
      <c r="H11" s="5">
        <f>(P$2*$A11)/(D11*$M$2)</f>
        <v>3317.8224823143732</v>
      </c>
      <c r="I11" s="5">
        <f>(Q$2*$A11)/(E11*$M$2)</f>
        <v>11659.146162479812</v>
      </c>
      <c r="J11" s="7">
        <f t="shared" si="2"/>
        <v>3.7471471734320358</v>
      </c>
      <c r="K11" s="8">
        <f t="shared" si="0"/>
        <v>3.5140958338273971</v>
      </c>
      <c r="L11" s="8">
        <f t="shared" si="1"/>
        <v>4.656532748588476</v>
      </c>
      <c r="R11">
        <v>28.149000000000001</v>
      </c>
      <c r="S11">
        <v>41.246000000000002</v>
      </c>
      <c r="T11">
        <v>36.554000000000002</v>
      </c>
      <c r="U11">
        <v>50.31</v>
      </c>
    </row>
    <row r="12" spans="1:21" x14ac:dyDescent="0.3">
      <c r="A12" s="2">
        <v>30.478999999999999</v>
      </c>
      <c r="B12">
        <v>3.4839000000000002E-2</v>
      </c>
      <c r="C12">
        <v>1.3344E-2</v>
      </c>
      <c r="D12">
        <v>3.4313999999999997E-2</v>
      </c>
      <c r="E12">
        <v>1.2963000000000001E-2</v>
      </c>
      <c r="F12" s="5">
        <f>(N$2*$A12)/(B12*$M$2)</f>
        <v>2639.0684395606545</v>
      </c>
      <c r="G12" s="5">
        <f>(O$2*$A12)/(C12*$M$2)</f>
        <v>9847.0058035529946</v>
      </c>
      <c r="H12" s="5">
        <f>(P$2*$A12)/(D12*$M$2)</f>
        <v>3496.6404687333934</v>
      </c>
      <c r="I12" s="5">
        <f>(Q$2*$A12)/(E12*$M$2)</f>
        <v>12236.293955558975</v>
      </c>
      <c r="J12" s="7">
        <f t="shared" si="2"/>
        <v>3.7312430613555061</v>
      </c>
      <c r="K12" s="8">
        <f t="shared" si="0"/>
        <v>3.4994429839083203</v>
      </c>
      <c r="L12" s="8">
        <f t="shared" si="1"/>
        <v>4.6365959185189007</v>
      </c>
      <c r="R12">
        <v>28.195</v>
      </c>
      <c r="S12">
        <v>41.046999999999997</v>
      </c>
      <c r="T12">
        <v>36.573</v>
      </c>
      <c r="U12">
        <v>49.893999999999998</v>
      </c>
    </row>
    <row r="13" spans="1:21" x14ac:dyDescent="0.3">
      <c r="A13" s="2">
        <v>30.530999999999999</v>
      </c>
      <c r="B13">
        <v>3.4851E-2</v>
      </c>
      <c r="C13">
        <v>1.3349E-2</v>
      </c>
      <c r="D13">
        <v>3.4325000000000001E-2</v>
      </c>
      <c r="E13">
        <v>1.2968E-2</v>
      </c>
      <c r="F13" s="5">
        <f>(N$2*$A13)/(B13*$M$2)</f>
        <v>2642.6606928030196</v>
      </c>
      <c r="G13" s="5">
        <f>(O$2*$A13)/(C13*$M$2)</f>
        <v>9860.1111224619508</v>
      </c>
      <c r="H13" s="5">
        <f>(P$2*$A13)/(D13*$M$2)</f>
        <v>3501.4835949616554</v>
      </c>
      <c r="I13" s="5">
        <f>(Q$2*$A13)/(E13*$M$2)</f>
        <v>12252.444278300758</v>
      </c>
      <c r="J13" s="7">
        <f t="shared" si="2"/>
        <v>3.731130201207753</v>
      </c>
      <c r="K13" s="8">
        <f t="shared" si="0"/>
        <v>3.4992151029726397</v>
      </c>
      <c r="L13" s="8">
        <f t="shared" si="1"/>
        <v>4.6364046325239068</v>
      </c>
      <c r="R13">
        <v>28.111999999999998</v>
      </c>
      <c r="S13">
        <v>40.697000000000003</v>
      </c>
      <c r="T13">
        <v>36.436999999999998</v>
      </c>
      <c r="U13">
        <v>49.308999999999997</v>
      </c>
    </row>
    <row r="14" spans="1:21" x14ac:dyDescent="0.3">
      <c r="A14" s="2">
        <v>30.62</v>
      </c>
      <c r="B14">
        <v>3.4870999999999999E-2</v>
      </c>
      <c r="C14">
        <v>1.3358999999999999E-2</v>
      </c>
      <c r="D14">
        <v>3.4345000000000001E-2</v>
      </c>
      <c r="E14">
        <v>1.2978E-2</v>
      </c>
      <c r="F14" s="5">
        <f>(N$2*$A14)/(B14*$M$2)</f>
        <v>2648.8441370318901</v>
      </c>
      <c r="G14" s="5">
        <f>(O$2*$A14)/(C14*$M$2)</f>
        <v>9881.451644966508</v>
      </c>
      <c r="H14" s="5">
        <f>(P$2*$A14)/(D14*$M$2)</f>
        <v>3509.6457143346497</v>
      </c>
      <c r="I14" s="5">
        <f>(Q$2*$A14)/(E14*$M$2)</f>
        <v>12278.692555086598</v>
      </c>
      <c r="J14" s="7">
        <f t="shared" si="2"/>
        <v>3.7304768169708065</v>
      </c>
      <c r="K14" s="8">
        <f t="shared" si="0"/>
        <v>3.4985561377138499</v>
      </c>
      <c r="L14" s="8">
        <f t="shared" si="1"/>
        <v>4.6354907725319183</v>
      </c>
      <c r="R14">
        <v>27.948</v>
      </c>
      <c r="S14">
        <v>40.273000000000003</v>
      </c>
      <c r="T14">
        <v>36.213000000000001</v>
      </c>
      <c r="U14">
        <v>48.652000000000001</v>
      </c>
    </row>
    <row r="15" spans="1:21" x14ac:dyDescent="0.3">
      <c r="A15" s="2">
        <v>30.818000000000001</v>
      </c>
      <c r="B15">
        <v>3.4950000000000002E-2</v>
      </c>
      <c r="C15">
        <v>1.3391999999999999E-2</v>
      </c>
      <c r="D15">
        <v>3.4424000000000003E-2</v>
      </c>
      <c r="E15">
        <v>1.3010000000000001E-2</v>
      </c>
      <c r="F15" s="5">
        <f>(N$2*$A15)/(B15*$M$2)</f>
        <v>2659.946432185352</v>
      </c>
      <c r="G15" s="5">
        <f>(O$2*$A15)/(C15*$M$2)</f>
        <v>9920.8417793487697</v>
      </c>
      <c r="H15" s="5">
        <f>(P$2*$A15)/(D15*$M$2)</f>
        <v>3524.2339484422632</v>
      </c>
      <c r="I15" s="5">
        <f>(Q$2*$A15)/(E15*$M$2)</f>
        <v>12327.694489836196</v>
      </c>
      <c r="J15" s="7">
        <f t="shared" si="2"/>
        <v>3.7297148767007422</v>
      </c>
      <c r="K15" s="8">
        <f t="shared" si="0"/>
        <v>3.4979784742398063</v>
      </c>
      <c r="L15" s="8">
        <f t="shared" si="1"/>
        <v>4.6345649448692248</v>
      </c>
      <c r="R15">
        <v>27.713000000000001</v>
      </c>
      <c r="S15">
        <v>39.781999999999996</v>
      </c>
      <c r="T15">
        <v>35.909999999999997</v>
      </c>
      <c r="U15">
        <v>47.933</v>
      </c>
    </row>
    <row r="16" spans="1:21" x14ac:dyDescent="0.3">
      <c r="A16" s="2">
        <v>30.84</v>
      </c>
      <c r="B16">
        <v>3.4963000000000001E-2</v>
      </c>
      <c r="C16">
        <v>1.3396E-2</v>
      </c>
      <c r="D16">
        <v>3.4436000000000001E-2</v>
      </c>
      <c r="E16">
        <v>1.3014E-2</v>
      </c>
      <c r="F16" s="5">
        <f>(N$2*$A16)/(B16*$M$2)</f>
        <v>2660.8555525248644</v>
      </c>
      <c r="G16" s="5">
        <f>(O$2*$A16)/(C16*$M$2)</f>
        <v>9924.9595116724686</v>
      </c>
      <c r="H16" s="5">
        <f>(P$2*$A16)/(D16*$M$2)</f>
        <v>3525.5208126925995</v>
      </c>
      <c r="I16" s="5">
        <f>(Q$2*$A16)/(E16*$M$2)</f>
        <v>12332.703081704964</v>
      </c>
      <c r="J16" s="7">
        <f t="shared" si="2"/>
        <v>3.7299880868222082</v>
      </c>
      <c r="K16" s="8">
        <f t="shared" si="0"/>
        <v>3.4981223305517579</v>
      </c>
      <c r="L16" s="8">
        <f t="shared" si="1"/>
        <v>4.6348638016079304</v>
      </c>
      <c r="R16">
        <v>27.431000000000001</v>
      </c>
      <c r="S16">
        <v>39.235999999999997</v>
      </c>
      <c r="T16">
        <v>35.552</v>
      </c>
      <c r="U16">
        <v>47.158999999999999</v>
      </c>
    </row>
    <row r="17" spans="1:21" x14ac:dyDescent="0.3">
      <c r="A17" s="2">
        <v>30.933</v>
      </c>
      <c r="B17">
        <v>3.5011E-2</v>
      </c>
      <c r="C17">
        <v>1.3415E-2</v>
      </c>
      <c r="D17">
        <v>3.4483E-2</v>
      </c>
      <c r="E17">
        <v>1.3032E-2</v>
      </c>
      <c r="F17" s="5">
        <f>(N$2*$A17)/(B17*$M$2)</f>
        <v>2665.2205056111284</v>
      </c>
      <c r="G17" s="5">
        <f>(O$2*$A17)/(C17*$M$2)</f>
        <v>9940.7895062220214</v>
      </c>
      <c r="H17" s="5">
        <f>(P$2*$A17)/(D17*$M$2)</f>
        <v>3531.3325052754049</v>
      </c>
      <c r="I17" s="5">
        <f>(Q$2*$A17)/(E17*$M$2)</f>
        <v>12352.807651874245</v>
      </c>
      <c r="J17" s="7">
        <f t="shared" si="2"/>
        <v>3.7298187843345532</v>
      </c>
      <c r="K17" s="8">
        <f t="shared" si="0"/>
        <v>3.498058490221629</v>
      </c>
      <c r="L17" s="8">
        <f t="shared" si="1"/>
        <v>4.6348163785576828</v>
      </c>
      <c r="R17">
        <v>27.128</v>
      </c>
      <c r="S17">
        <v>38.677</v>
      </c>
      <c r="T17">
        <v>35.174999999999997</v>
      </c>
      <c r="U17">
        <v>46.390999999999998</v>
      </c>
    </row>
    <row r="18" spans="1:21" x14ac:dyDescent="0.3">
      <c r="A18" s="2">
        <v>30.994</v>
      </c>
      <c r="B18">
        <v>3.4978000000000002E-2</v>
      </c>
      <c r="C18">
        <v>1.3406E-2</v>
      </c>
      <c r="D18">
        <v>3.4451000000000002E-2</v>
      </c>
      <c r="E18">
        <v>1.3023E-2</v>
      </c>
      <c r="F18" s="5">
        <f>(N$2*$A18)/(B18*$M$2)</f>
        <v>2672.9957924772225</v>
      </c>
      <c r="G18" s="5">
        <f>(O$2*$A18)/(C18*$M$2)</f>
        <v>9967.0796049264627</v>
      </c>
      <c r="H18" s="5">
        <f>(P$2*$A18)/(D18*$M$2)</f>
        <v>3541.5828730319449</v>
      </c>
      <c r="I18" s="5">
        <f>(Q$2*$A18)/(E18*$M$2)</f>
        <v>12385.721112883713</v>
      </c>
      <c r="J18" s="7">
        <f t="shared" si="2"/>
        <v>3.7288048237776623</v>
      </c>
      <c r="K18" s="8">
        <f t="shared" si="0"/>
        <v>3.4972275270464905</v>
      </c>
      <c r="L18" s="8">
        <f t="shared" si="1"/>
        <v>4.6336478148381737</v>
      </c>
      <c r="R18">
        <v>26.792999999999999</v>
      </c>
      <c r="S18">
        <v>38.088000000000001</v>
      </c>
      <c r="T18">
        <v>34.76</v>
      </c>
      <c r="U18">
        <v>45.6</v>
      </c>
    </row>
    <row r="19" spans="1:21" x14ac:dyDescent="0.3">
      <c r="A19" s="2">
        <v>31.850999999999999</v>
      </c>
      <c r="B19">
        <v>3.5198E-2</v>
      </c>
      <c r="C19">
        <v>1.3504E-2</v>
      </c>
      <c r="D19">
        <v>3.4667999999999997E-2</v>
      </c>
      <c r="E19">
        <v>1.3119E-2</v>
      </c>
      <c r="F19" s="5">
        <f>(N$2*$A19)/(B19*$M$2)</f>
        <v>2729.7363625150542</v>
      </c>
      <c r="G19" s="5">
        <f>(O$2*$A19)/(C19*$M$2)</f>
        <v>10168.342264016994</v>
      </c>
      <c r="H19" s="5">
        <f>(P$2*$A19)/(D19*$M$2)</f>
        <v>3616.7284031213735</v>
      </c>
      <c r="I19" s="5">
        <f>(Q$2*$A19)/(E19*$M$2)</f>
        <v>12635.052439467301</v>
      </c>
      <c r="J19" s="7">
        <f t="shared" si="2"/>
        <v>3.7250272237456472</v>
      </c>
      <c r="K19" s="8">
        <f t="shared" si="0"/>
        <v>3.4935032524318865</v>
      </c>
      <c r="L19" s="8">
        <f t="shared" si="1"/>
        <v>4.6286713299396949</v>
      </c>
      <c r="R19">
        <v>26.443999999999999</v>
      </c>
      <c r="S19">
        <v>37.488999999999997</v>
      </c>
      <c r="T19">
        <v>34.328000000000003</v>
      </c>
      <c r="U19">
        <v>44.811</v>
      </c>
    </row>
    <row r="20" spans="1:21" x14ac:dyDescent="0.3">
      <c r="A20" s="2">
        <v>32.337000000000003</v>
      </c>
      <c r="B20">
        <v>3.5323E-2</v>
      </c>
      <c r="C20">
        <v>1.3559999999999999E-2</v>
      </c>
      <c r="D20">
        <v>3.4791999999999997E-2</v>
      </c>
      <c r="E20">
        <v>1.3173000000000001E-2</v>
      </c>
      <c r="F20" s="5">
        <f>(N$2*$A20)/(B20*$M$2)</f>
        <v>2761.5808672992034</v>
      </c>
      <c r="G20" s="5">
        <f>(O$2*$A20)/(C20*$M$2)</f>
        <v>10280.862490160103</v>
      </c>
      <c r="H20" s="5">
        <f>(P$2*$A20)/(D20*$M$2)</f>
        <v>3658.8275841809486</v>
      </c>
      <c r="I20" s="5">
        <f>(Q$2*$A20)/(E20*$M$2)</f>
        <v>12775.259880569583</v>
      </c>
      <c r="J20" s="7">
        <f t="shared" si="2"/>
        <v>3.7228178294176395</v>
      </c>
      <c r="K20" s="8">
        <f t="shared" si="0"/>
        <v>3.4916266445032296</v>
      </c>
      <c r="L20" s="8">
        <f t="shared" si="1"/>
        <v>4.6260676382305803</v>
      </c>
      <c r="R20">
        <v>26.082999999999998</v>
      </c>
      <c r="S20">
        <v>36.877000000000002</v>
      </c>
      <c r="T20">
        <v>33.881</v>
      </c>
      <c r="U20">
        <v>44.015000000000001</v>
      </c>
    </row>
    <row r="21" spans="1:21" x14ac:dyDescent="0.3">
      <c r="A21" s="2">
        <v>32.418999999999997</v>
      </c>
      <c r="B21">
        <v>3.5341999999999998E-2</v>
      </c>
      <c r="C21">
        <v>1.3568999999999999E-2</v>
      </c>
      <c r="D21">
        <v>3.4811000000000002E-2</v>
      </c>
      <c r="E21">
        <v>1.3181999999999999E-2</v>
      </c>
      <c r="F21" s="5">
        <f>(N$2*$A21)/(B21*$M$2)</f>
        <v>2767.0952683948208</v>
      </c>
      <c r="G21" s="5">
        <f>(O$2*$A21)/(C21*$M$2)</f>
        <v>10300.096301828593</v>
      </c>
      <c r="H21" s="5">
        <f>(P$2*$A21)/(D21*$M$2)</f>
        <v>3666.1035520381488</v>
      </c>
      <c r="I21" s="5">
        <f>(Q$2*$A21)/(E21*$M$2)</f>
        <v>12798.910903079211</v>
      </c>
      <c r="J21" s="7">
        <f t="shared" si="2"/>
        <v>3.7223497215560748</v>
      </c>
      <c r="K21" s="8">
        <f t="shared" si="0"/>
        <v>3.4911482235584241</v>
      </c>
      <c r="L21" s="8">
        <f t="shared" si="1"/>
        <v>4.6253958254584422</v>
      </c>
      <c r="R21">
        <v>25.696000000000002</v>
      </c>
      <c r="S21">
        <v>36.234000000000002</v>
      </c>
      <c r="T21">
        <v>33.399000000000001</v>
      </c>
      <c r="U21">
        <v>43.192</v>
      </c>
    </row>
    <row r="22" spans="1:21" x14ac:dyDescent="0.3">
      <c r="A22" s="2">
        <v>32.622</v>
      </c>
      <c r="B22">
        <v>3.5358000000000001E-2</v>
      </c>
      <c r="C22">
        <v>1.3584000000000001E-2</v>
      </c>
      <c r="D22">
        <v>3.4826999999999997E-2</v>
      </c>
      <c r="E22">
        <v>1.3197E-2</v>
      </c>
      <c r="F22" s="5">
        <f>(N$2*$A22)/(B22*$M$2)</f>
        <v>2783.162164287518</v>
      </c>
      <c r="G22" s="5">
        <f>(O$2*$A22)/(C22*$M$2)</f>
        <v>10353.148032519479</v>
      </c>
      <c r="H22" s="5">
        <f>(P$2*$A22)/(D22*$M$2)</f>
        <v>3687.3650083859893</v>
      </c>
      <c r="I22" s="5">
        <f>(Q$2*$A22)/(E22*$M$2)</f>
        <v>12864.415996135805</v>
      </c>
      <c r="J22" s="7">
        <f t="shared" si="2"/>
        <v>3.7199226711857292</v>
      </c>
      <c r="K22" s="8">
        <f t="shared" si="0"/>
        <v>3.4887829023920629</v>
      </c>
      <c r="L22" s="8">
        <f t="shared" si="1"/>
        <v>4.6222301241397705</v>
      </c>
      <c r="R22">
        <v>25.28</v>
      </c>
      <c r="S22">
        <v>35.549999999999997</v>
      </c>
      <c r="T22">
        <v>32.877000000000002</v>
      </c>
      <c r="U22">
        <v>42.331000000000003</v>
      </c>
    </row>
    <row r="23" spans="1:21" x14ac:dyDescent="0.3">
      <c r="A23" s="2">
        <v>33.311</v>
      </c>
      <c r="B23">
        <v>3.5886000000000001E-2</v>
      </c>
      <c r="C23">
        <v>1.3787000000000001E-2</v>
      </c>
      <c r="D23">
        <v>3.5347000000000003E-2</v>
      </c>
      <c r="E23">
        <v>1.3394E-2</v>
      </c>
      <c r="F23" s="5">
        <f>(N$2*$A23)/(B23*$M$2)</f>
        <v>2800.1302770426132</v>
      </c>
      <c r="G23" s="5">
        <f>(O$2*$A23)/(C23*$M$2)</f>
        <v>10416.154381755459</v>
      </c>
      <c r="H23" s="5">
        <f>(P$2*$A23)/(D23*$M$2)</f>
        <v>3709.8531862259715</v>
      </c>
      <c r="I23" s="5">
        <f>(Q$2*$A23)/(E23*$M$2)</f>
        <v>12942.914568537397</v>
      </c>
      <c r="J23" s="7">
        <f t="shared" si="2"/>
        <v>3.7198820594721003</v>
      </c>
      <c r="K23" s="8">
        <f t="shared" si="0"/>
        <v>3.4887942780571879</v>
      </c>
      <c r="L23" s="8">
        <f t="shared" si="1"/>
        <v>4.6222544267501693</v>
      </c>
      <c r="R23">
        <v>24.864000000000001</v>
      </c>
      <c r="S23">
        <v>34.865000000000002</v>
      </c>
      <c r="T23">
        <v>32.350999999999999</v>
      </c>
      <c r="U23">
        <v>41.472000000000001</v>
      </c>
    </row>
    <row r="24" spans="1:21" x14ac:dyDescent="0.3">
      <c r="A24" s="2">
        <v>33.384999999999998</v>
      </c>
      <c r="B24">
        <v>3.5897999999999999E-2</v>
      </c>
      <c r="C24">
        <v>1.3793E-2</v>
      </c>
      <c r="D24">
        <v>3.5359000000000002E-2</v>
      </c>
      <c r="E24">
        <v>1.34E-2</v>
      </c>
      <c r="F24" s="5">
        <f>(N$2*$A24)/(B24*$M$2)</f>
        <v>2805.4126257458465</v>
      </c>
      <c r="G24" s="5">
        <f>(O$2*$A24)/(C24*$M$2)</f>
        <v>10434.752621019476</v>
      </c>
      <c r="H24" s="5">
        <f>(P$2*$A24)/(D24*$M$2)</f>
        <v>3716.8327495454191</v>
      </c>
      <c r="I24" s="5">
        <f>(Q$2*$A24)/(E24*$M$2)</f>
        <v>12965.858893927058</v>
      </c>
      <c r="J24" s="7">
        <f t="shared" si="2"/>
        <v>3.7195072572418093</v>
      </c>
      <c r="K24" s="8">
        <f t="shared" si="0"/>
        <v>3.4884160164357207</v>
      </c>
      <c r="L24" s="8">
        <f t="shared" si="1"/>
        <v>4.6217297145299456</v>
      </c>
      <c r="R24">
        <v>24.431999999999999</v>
      </c>
      <c r="S24">
        <v>34.148000000000003</v>
      </c>
      <c r="T24">
        <v>31.803000000000001</v>
      </c>
      <c r="U24">
        <v>40.585000000000001</v>
      </c>
    </row>
    <row r="25" spans="1:21" x14ac:dyDescent="0.3">
      <c r="A25" s="2">
        <v>33.429000000000002</v>
      </c>
      <c r="B25">
        <v>3.5904999999999999E-2</v>
      </c>
      <c r="C25">
        <v>1.3797E-2</v>
      </c>
      <c r="D25">
        <v>3.5366000000000002E-2</v>
      </c>
      <c r="E25">
        <v>1.3403999999999999E-2</v>
      </c>
      <c r="F25" s="5">
        <f>(N$2*$A25)/(B25*$M$2)</f>
        <v>2808.5623783629567</v>
      </c>
      <c r="G25" s="5">
        <f>(O$2*$A25)/(C25*$M$2)</f>
        <v>10445.475967266289</v>
      </c>
      <c r="H25" s="5">
        <f>(P$2*$A25)/(D25*$M$2)</f>
        <v>3720.9947328108424</v>
      </c>
      <c r="I25" s="5">
        <f>(Q$2*$A25)/(E25*$M$2)</f>
        <v>12979.072990428343</v>
      </c>
      <c r="J25" s="7">
        <f t="shared" si="2"/>
        <v>3.7191539870140629</v>
      </c>
      <c r="K25" s="8">
        <f t="shared" si="0"/>
        <v>3.4880654025070177</v>
      </c>
      <c r="L25" s="8">
        <f t="shared" si="1"/>
        <v>4.6212514596145562</v>
      </c>
      <c r="R25">
        <v>23.959</v>
      </c>
      <c r="S25">
        <v>33.369</v>
      </c>
      <c r="T25">
        <v>31.2</v>
      </c>
      <c r="U25">
        <v>39.636000000000003</v>
      </c>
    </row>
    <row r="26" spans="1:21" x14ac:dyDescent="0.3">
      <c r="A26" s="2">
        <v>33.951000000000001</v>
      </c>
      <c r="B26">
        <v>3.5522999999999999E-2</v>
      </c>
      <c r="C26">
        <v>1.3691999999999999E-2</v>
      </c>
      <c r="D26">
        <v>3.4992000000000002E-2</v>
      </c>
      <c r="E26">
        <v>1.3302E-2</v>
      </c>
      <c r="F26" s="5">
        <f>(N$2*$A26)/(B26*$M$2)</f>
        <v>2883.0923558285499</v>
      </c>
      <c r="G26" s="5">
        <f>(O$2*$A26)/(C26*$M$2)</f>
        <v>10689.938172642989</v>
      </c>
      <c r="H26" s="5">
        <f>(P$2*$A26)/(D26*$M$2)</f>
        <v>3819.4903536774796</v>
      </c>
      <c r="I26" s="5">
        <f>(Q$2*$A26)/(E26*$M$2)</f>
        <v>13282.821480389241</v>
      </c>
      <c r="J26" s="7">
        <f t="shared" si="2"/>
        <v>3.707802891236514</v>
      </c>
      <c r="K26" s="8">
        <f t="shared" si="0"/>
        <v>3.4776423685951405</v>
      </c>
      <c r="L26" s="8">
        <f t="shared" si="1"/>
        <v>4.6071439416556572</v>
      </c>
      <c r="R26">
        <v>23.478999999999999</v>
      </c>
      <c r="S26">
        <v>32.587000000000003</v>
      </c>
      <c r="T26">
        <v>30.582999999999998</v>
      </c>
      <c r="U26">
        <v>38.682000000000002</v>
      </c>
    </row>
    <row r="27" spans="1:21" x14ac:dyDescent="0.3">
      <c r="A27" s="2">
        <v>33.975000000000001</v>
      </c>
      <c r="B27">
        <v>3.5505000000000002E-2</v>
      </c>
      <c r="C27">
        <v>1.3687E-2</v>
      </c>
      <c r="D27">
        <v>3.4973999999999998E-2</v>
      </c>
      <c r="E27">
        <v>1.3298000000000001E-2</v>
      </c>
      <c r="F27" s="5">
        <f>(N$2*$A27)/(B27*$M$2)</f>
        <v>2886.5930940678227</v>
      </c>
      <c r="G27" s="5">
        <f>(O$2*$A27)/(C27*$M$2)</f>
        <v>10701.402805382773</v>
      </c>
      <c r="H27" s="5">
        <f>(P$2*$A27)/(D27*$M$2)</f>
        <v>3824.1575149102364</v>
      </c>
      <c r="I27" s="5">
        <f>(Q$2*$A27)/(E27*$M$2)</f>
        <v>13296.209380521936</v>
      </c>
      <c r="J27" s="7">
        <f t="shared" si="2"/>
        <v>3.7072779074317759</v>
      </c>
      <c r="K27" s="8">
        <f t="shared" si="0"/>
        <v>3.47689898459479</v>
      </c>
      <c r="L27" s="8">
        <f t="shared" si="1"/>
        <v>4.6061945508865447</v>
      </c>
      <c r="R27">
        <v>22.972999999999999</v>
      </c>
      <c r="S27">
        <v>31.774999999999999</v>
      </c>
      <c r="T27">
        <v>29.928000000000001</v>
      </c>
      <c r="U27">
        <v>37.694000000000003</v>
      </c>
    </row>
    <row r="28" spans="1:21" x14ac:dyDescent="0.3">
      <c r="A28" s="2">
        <v>34.008000000000003</v>
      </c>
      <c r="B28">
        <v>3.5490000000000001E-2</v>
      </c>
      <c r="C28">
        <v>1.3683000000000001E-2</v>
      </c>
      <c r="D28">
        <v>3.4958999999999997E-2</v>
      </c>
      <c r="E28">
        <v>1.3294E-2</v>
      </c>
      <c r="F28" s="5">
        <f>(N$2*$A28)/(B28*$M$2)</f>
        <v>2890.6180648619675</v>
      </c>
      <c r="G28" s="5">
        <f>(O$2*$A28)/(C28*$M$2)</f>
        <v>10714.928521615329</v>
      </c>
      <c r="H28" s="5">
        <f>(P$2*$A28)/(D28*$M$2)</f>
        <v>3829.5143689330203</v>
      </c>
      <c r="I28" s="5">
        <f>(Q$2*$A28)/(E28*$M$2)</f>
        <v>13313.128571610494</v>
      </c>
      <c r="J28" s="7">
        <f t="shared" si="2"/>
        <v>3.7067949764324841</v>
      </c>
      <c r="K28" s="8">
        <f t="shared" si="0"/>
        <v>3.4764534844452872</v>
      </c>
      <c r="L28" s="8">
        <f t="shared" si="1"/>
        <v>4.6056339069638454</v>
      </c>
      <c r="R28">
        <v>22.420999999999999</v>
      </c>
      <c r="S28">
        <v>30.908999999999999</v>
      </c>
      <c r="T28">
        <v>29.213999999999999</v>
      </c>
      <c r="U28">
        <v>36.643999999999998</v>
      </c>
    </row>
    <row r="29" spans="1:21" x14ac:dyDescent="0.3">
      <c r="A29" s="2">
        <v>34.027000000000001</v>
      </c>
      <c r="B29">
        <v>3.5506000000000003E-2</v>
      </c>
      <c r="C29">
        <v>1.3689E-2</v>
      </c>
      <c r="D29">
        <v>3.4974999999999999E-2</v>
      </c>
      <c r="E29">
        <v>1.3299999999999999E-2</v>
      </c>
      <c r="F29" s="5">
        <f>(N$2*$A29)/(B29*$M$2)</f>
        <v>2890.9297088915237</v>
      </c>
      <c r="G29" s="5">
        <f>(O$2*$A29)/(C29*$M$2)</f>
        <v>10716.215803083311</v>
      </c>
      <c r="H29" s="5">
        <f>(P$2*$A29)/(D29*$M$2)</f>
        <v>3829.9010229996225</v>
      </c>
      <c r="I29" s="5">
        <f>(Q$2*$A29)/(E29*$M$2)</f>
        <v>13314.557232877742</v>
      </c>
      <c r="J29" s="7">
        <f t="shared" si="2"/>
        <v>3.7068406644837641</v>
      </c>
      <c r="K29" s="8">
        <f t="shared" si="0"/>
        <v>3.476475541514028</v>
      </c>
      <c r="L29" s="8">
        <f t="shared" si="1"/>
        <v>4.6056316042298295</v>
      </c>
      <c r="R29">
        <v>21.838999999999999</v>
      </c>
      <c r="S29">
        <v>30.001999999999999</v>
      </c>
      <c r="T29">
        <v>28.463000000000001</v>
      </c>
      <c r="U29">
        <v>35.552</v>
      </c>
    </row>
    <row r="30" spans="1:21" x14ac:dyDescent="0.3">
      <c r="A30" s="2">
        <v>34.247999999999998</v>
      </c>
      <c r="B30">
        <v>3.5579E-2</v>
      </c>
      <c r="C30">
        <v>1.3721000000000001E-2</v>
      </c>
      <c r="D30">
        <v>3.5047000000000002E-2</v>
      </c>
      <c r="E30">
        <v>1.3331000000000001E-2</v>
      </c>
      <c r="F30" s="5">
        <f>(N$2*$A30)/(B30*$M$2)</f>
        <v>2903.7357882390202</v>
      </c>
      <c r="G30" s="5">
        <f>(O$2*$A30)/(C30*$M$2)</f>
        <v>10760.661346529005</v>
      </c>
      <c r="H30" s="5">
        <f>(P$2*$A30)/(D30*$M$2)</f>
        <v>3846.8564364827735</v>
      </c>
      <c r="I30" s="5">
        <f>(Q$2*$A30)/(E30*$M$2)</f>
        <v>13369.870327163773</v>
      </c>
      <c r="J30" s="7">
        <f t="shared" si="2"/>
        <v>3.7057990572395854</v>
      </c>
      <c r="K30" s="8">
        <f t="shared" si="0"/>
        <v>3.4755313976281381</v>
      </c>
      <c r="L30" s="8">
        <f t="shared" si="1"/>
        <v>4.6043687519076846</v>
      </c>
      <c r="R30">
        <v>21.213000000000001</v>
      </c>
      <c r="S30">
        <v>29.042000000000002</v>
      </c>
      <c r="T30">
        <v>27.652999999999999</v>
      </c>
      <c r="U30">
        <v>34.398000000000003</v>
      </c>
    </row>
    <row r="31" spans="1:21" x14ac:dyDescent="0.3">
      <c r="A31" s="2">
        <v>34.253999999999998</v>
      </c>
      <c r="B31">
        <v>3.5573E-2</v>
      </c>
      <c r="C31">
        <v>1.372E-2</v>
      </c>
      <c r="D31">
        <v>3.5041999999999997E-2</v>
      </c>
      <c r="E31">
        <v>1.333E-2</v>
      </c>
      <c r="F31" s="5">
        <f>(N$2*$A31)/(B31*$M$2)</f>
        <v>2904.7343525131764</v>
      </c>
      <c r="G31" s="5">
        <f>(O$2*$A31)/(C31*$M$2)</f>
        <v>10763.330978140382</v>
      </c>
      <c r="H31" s="5">
        <f>(P$2*$A31)/(D31*$M$2)</f>
        <v>3848.0793661052126</v>
      </c>
      <c r="I31" s="5">
        <f>(Q$2*$A31)/(E31*$M$2)</f>
        <v>13373.215797744264</v>
      </c>
      <c r="J31" s="7">
        <f t="shared" si="2"/>
        <v>3.7054441721419198</v>
      </c>
      <c r="K31" s="8">
        <f t="shared" si="0"/>
        <v>3.4752962518233619</v>
      </c>
      <c r="L31" s="8">
        <f t="shared" si="1"/>
        <v>4.6039376324288508</v>
      </c>
      <c r="R31">
        <v>20.513000000000002</v>
      </c>
      <c r="S31">
        <v>27.989000000000001</v>
      </c>
      <c r="T31">
        <v>26.75</v>
      </c>
      <c r="U31">
        <v>33.139000000000003</v>
      </c>
    </row>
    <row r="32" spans="1:21" x14ac:dyDescent="0.3">
      <c r="A32" s="2">
        <v>34.316000000000003</v>
      </c>
      <c r="B32">
        <v>3.5591999999999999E-2</v>
      </c>
      <c r="C32">
        <v>1.3728000000000001E-2</v>
      </c>
      <c r="D32">
        <v>3.5061000000000002E-2</v>
      </c>
      <c r="E32">
        <v>1.3337999999999999E-2</v>
      </c>
      <c r="F32" s="5">
        <f>(N$2*$A32)/(B32*$M$2)</f>
        <v>2908.4385090647947</v>
      </c>
      <c r="G32" s="5">
        <f>(O$2*$A32)/(C32*$M$2)</f>
        <v>10776.528998530164</v>
      </c>
      <c r="H32" s="5">
        <f>(P$2*$A32)/(D32*$M$2)</f>
        <v>3852.9553215656078</v>
      </c>
      <c r="I32" s="5">
        <f>(Q$2*$A32)/(E32*$M$2)</f>
        <v>13389.385779467855</v>
      </c>
      <c r="J32" s="7">
        <f t="shared" si="2"/>
        <v>3.7052627947755186</v>
      </c>
      <c r="K32" s="8">
        <f t="shared" si="0"/>
        <v>3.4750950016277944</v>
      </c>
      <c r="L32" s="8">
        <f t="shared" si="1"/>
        <v>4.60363378415492</v>
      </c>
      <c r="R32">
        <v>19.742999999999999</v>
      </c>
      <c r="S32">
        <v>26.858000000000001</v>
      </c>
      <c r="T32">
        <v>25.757000000000001</v>
      </c>
      <c r="U32">
        <v>31.792000000000002</v>
      </c>
    </row>
    <row r="33" spans="1:21" x14ac:dyDescent="0.3">
      <c r="A33" s="2">
        <v>34.726999999999997</v>
      </c>
      <c r="B33">
        <v>3.5721000000000003E-2</v>
      </c>
      <c r="C33">
        <v>1.3783999999999999E-2</v>
      </c>
      <c r="D33">
        <v>3.5187999999999997E-2</v>
      </c>
      <c r="E33">
        <v>1.3393E-2</v>
      </c>
      <c r="F33" s="5">
        <f>(N$2*$A33)/(B33*$M$2)</f>
        <v>2932.6435430139131</v>
      </c>
      <c r="G33" s="5">
        <f>(O$2*$A33)/(C33*$M$2)</f>
        <v>10861.29265602062</v>
      </c>
      <c r="H33" s="5">
        <f>(P$2*$A33)/(D33*$M$2)</f>
        <v>3885.0292809547373</v>
      </c>
      <c r="I33" s="5">
        <f>(Q$2*$A33)/(E33*$M$2)</f>
        <v>13494.105676362975</v>
      </c>
      <c r="J33" s="7">
        <f t="shared" si="2"/>
        <v>3.7035843247619309</v>
      </c>
      <c r="K33" s="8">
        <f t="shared" si="0"/>
        <v>3.473360096026568</v>
      </c>
      <c r="L33" s="8">
        <f t="shared" si="1"/>
        <v>4.6013453317599318</v>
      </c>
      <c r="R33">
        <v>18.885000000000002</v>
      </c>
      <c r="S33">
        <v>25.617000000000001</v>
      </c>
      <c r="T33">
        <v>24.651</v>
      </c>
      <c r="U33">
        <v>30.321000000000002</v>
      </c>
    </row>
    <row r="34" spans="1:21" x14ac:dyDescent="0.3">
      <c r="A34" s="2">
        <v>35.399000000000001</v>
      </c>
      <c r="B34">
        <v>3.576E-2</v>
      </c>
      <c r="C34">
        <v>1.3816999999999999E-2</v>
      </c>
      <c r="D34">
        <v>3.5228000000000002E-2</v>
      </c>
      <c r="E34">
        <v>1.3424999999999999E-2</v>
      </c>
      <c r="F34" s="5">
        <f>(N$2*$A34)/(B34*$M$2)</f>
        <v>2986.1327003874067</v>
      </c>
      <c r="G34" s="5">
        <f>(O$2*$A34)/(C34*$M$2)</f>
        <v>11045.026172040367</v>
      </c>
      <c r="H34" s="5">
        <f>(P$2*$A34)/(D34*$M$2)</f>
        <v>3955.7115792751761</v>
      </c>
      <c r="I34" s="5">
        <f>(Q$2*$A34)/(E34*$M$2)</f>
        <v>13722.44213070648</v>
      </c>
      <c r="J34" s="7">
        <f t="shared" si="2"/>
        <v>3.6987727205182268</v>
      </c>
      <c r="K34" s="8">
        <f t="shared" si="0"/>
        <v>3.4690198857270858</v>
      </c>
      <c r="L34" s="8">
        <f t="shared" si="1"/>
        <v>4.5953892567889554</v>
      </c>
      <c r="R34">
        <v>17.89</v>
      </c>
      <c r="S34">
        <v>24.201000000000001</v>
      </c>
      <c r="T34">
        <v>23.369</v>
      </c>
      <c r="U34">
        <v>28.649000000000001</v>
      </c>
    </row>
    <row r="35" spans="1:21" x14ac:dyDescent="0.3">
      <c r="A35" s="2">
        <v>35.473999999999997</v>
      </c>
      <c r="B35">
        <v>3.5774E-2</v>
      </c>
      <c r="C35">
        <v>1.3823E-2</v>
      </c>
      <c r="D35">
        <v>3.5241000000000001E-2</v>
      </c>
      <c r="E35">
        <v>1.3431E-2</v>
      </c>
      <c r="F35" s="5">
        <f>(N$2*$A35)/(B35*$M$2)</f>
        <v>2991.2883453986883</v>
      </c>
      <c r="G35" s="5">
        <f>(O$2*$A35)/(C35*$M$2)</f>
        <v>11063.62295982067</v>
      </c>
      <c r="H35" s="5">
        <f>(P$2*$A35)/(D35*$M$2)</f>
        <v>3962.6302526969757</v>
      </c>
      <c r="I35" s="5">
        <f>(Q$2*$A35)/(E35*$M$2)</f>
        <v>13745.372739268778</v>
      </c>
      <c r="J35" s="7">
        <f t="shared" si="2"/>
        <v>3.6986146711129164</v>
      </c>
      <c r="K35" s="8">
        <f t="shared" si="0"/>
        <v>3.4687497603173156</v>
      </c>
      <c r="L35" s="8">
        <f t="shared" si="1"/>
        <v>4.5951346550767749</v>
      </c>
      <c r="R35">
        <v>16.741</v>
      </c>
      <c r="S35">
        <v>22.596</v>
      </c>
      <c r="T35">
        <v>21.888999999999999</v>
      </c>
      <c r="U35">
        <v>26.759</v>
      </c>
    </row>
    <row r="36" spans="1:21" x14ac:dyDescent="0.3">
      <c r="A36" s="2">
        <v>35.966999999999999</v>
      </c>
      <c r="B36">
        <v>3.6051E-2</v>
      </c>
      <c r="C36">
        <v>1.3923E-2</v>
      </c>
      <c r="D36">
        <v>3.5513000000000003E-2</v>
      </c>
      <c r="E36">
        <v>1.3528E-2</v>
      </c>
      <c r="F36" s="5">
        <f>(N$2*$A36)/(B36*$M$2)</f>
        <v>3009.5566240508874</v>
      </c>
      <c r="G36" s="5">
        <f>(O$2*$A36)/(C36*$M$2)</f>
        <v>11136.812425864284</v>
      </c>
      <c r="H36" s="5">
        <f>(P$2*$A36)/(D36*$M$2)</f>
        <v>3986.9286735926034</v>
      </c>
      <c r="I36" s="5">
        <f>(Q$2*$A36)/(E36*$M$2)</f>
        <v>13836.470740372053</v>
      </c>
      <c r="J36" s="7">
        <f t="shared" si="2"/>
        <v>3.7004827677487073</v>
      </c>
      <c r="K36" s="8">
        <f t="shared" si="0"/>
        <v>3.4704585592458246</v>
      </c>
      <c r="L36" s="8">
        <f t="shared" si="1"/>
        <v>4.5975113509404757</v>
      </c>
      <c r="R36">
        <v>15.416</v>
      </c>
      <c r="S36">
        <v>20.782</v>
      </c>
      <c r="T36">
        <v>20.178000000000001</v>
      </c>
      <c r="U36">
        <v>24.623000000000001</v>
      </c>
    </row>
    <row r="37" spans="1:21" x14ac:dyDescent="0.3">
      <c r="A37" s="2">
        <v>36.332000000000001</v>
      </c>
      <c r="B37">
        <v>3.5936999999999997E-2</v>
      </c>
      <c r="C37">
        <v>1.3896E-2</v>
      </c>
      <c r="D37">
        <v>3.5402000000000003E-2</v>
      </c>
      <c r="E37">
        <v>1.3502E-2</v>
      </c>
      <c r="F37" s="5">
        <f>(N$2*$A37)/(B37*$M$2)</f>
        <v>3049.7420350111347</v>
      </c>
      <c r="G37" s="5">
        <f>(O$2*$A37)/(C37*$M$2)</f>
        <v>11271.689409708024</v>
      </c>
      <c r="H37" s="5">
        <f>(P$2*$A37)/(D37*$M$2)</f>
        <v>4040.0163284227879</v>
      </c>
      <c r="I37" s="5">
        <f>(Q$2*$A37)/(E37*$M$2)</f>
        <v>14003.800353292678</v>
      </c>
      <c r="J37" s="7">
        <f t="shared" si="2"/>
        <v>3.6959484704964138</v>
      </c>
      <c r="K37" s="8">
        <f t="shared" si="0"/>
        <v>3.4662732065639266</v>
      </c>
      <c r="L37" s="8">
        <f t="shared" si="1"/>
        <v>4.591798320162364</v>
      </c>
      <c r="R37">
        <v>13.843</v>
      </c>
      <c r="S37">
        <v>18.655000000000001</v>
      </c>
      <c r="T37">
        <v>18.141999999999999</v>
      </c>
      <c r="U37">
        <v>22.117999999999999</v>
      </c>
    </row>
    <row r="38" spans="1:21" x14ac:dyDescent="0.3">
      <c r="A38" s="2">
        <v>36.814999999999998</v>
      </c>
      <c r="B38">
        <v>3.5834999999999999E-2</v>
      </c>
      <c r="C38">
        <v>1.3877E-2</v>
      </c>
      <c r="D38">
        <v>3.5302E-2</v>
      </c>
      <c r="E38">
        <v>1.3483E-2</v>
      </c>
      <c r="F38" s="5">
        <f>(N$2*$A38)/(B38*$M$2)</f>
        <v>3099.0816309167699</v>
      </c>
      <c r="G38" s="5">
        <f>(O$2*$A38)/(C38*$M$2)</f>
        <v>11437.174038222051</v>
      </c>
      <c r="H38" s="5">
        <f>(P$2*$A38)/(D38*$M$2)</f>
        <v>4105.3208679228301</v>
      </c>
      <c r="I38" s="5">
        <f>(Q$2*$A38)/(E38*$M$2)</f>
        <v>14209.964043408287</v>
      </c>
      <c r="J38" s="7">
        <f t="shared" si="2"/>
        <v>3.6905042849222101</v>
      </c>
      <c r="K38" s="8">
        <f t="shared" si="0"/>
        <v>3.4613528395401905</v>
      </c>
      <c r="L38" s="8">
        <f t="shared" si="1"/>
        <v>4.5852177308426354</v>
      </c>
      <c r="R38">
        <v>11.976000000000001</v>
      </c>
      <c r="S38">
        <v>16.152000000000001</v>
      </c>
      <c r="T38">
        <v>15.721</v>
      </c>
      <c r="U38">
        <v>19.164000000000001</v>
      </c>
    </row>
    <row r="39" spans="1:21" x14ac:dyDescent="0.3">
      <c r="A39" s="2">
        <v>37.125999999999998</v>
      </c>
      <c r="B39">
        <v>3.5770000000000003E-2</v>
      </c>
      <c r="C39">
        <v>1.3864E-2</v>
      </c>
      <c r="D39">
        <v>3.5238999999999999E-2</v>
      </c>
      <c r="E39">
        <v>1.3472E-2</v>
      </c>
      <c r="F39" s="5">
        <f>(N$2*$A39)/(B39*$M$2)</f>
        <v>3130.9406847269474</v>
      </c>
      <c r="G39" s="5">
        <f>(O$2*$A39)/(C39*$M$2)</f>
        <v>11544.606217624621</v>
      </c>
      <c r="H39" s="5">
        <f>(P$2*$A39)/(D39*$M$2)</f>
        <v>4147.4026162523814</v>
      </c>
      <c r="I39" s="5">
        <f>(Q$2*$A39)/(E39*$M$2)</f>
        <v>14341.705323566041</v>
      </c>
      <c r="J39" s="7">
        <f t="shared" si="2"/>
        <v>3.6872644294861301</v>
      </c>
      <c r="K39" s="8">
        <f t="shared" si="0"/>
        <v>3.4579968839691029</v>
      </c>
      <c r="L39" s="8">
        <f t="shared" si="1"/>
        <v>4.5806378234906724</v>
      </c>
      <c r="R39">
        <v>9.7544000000000004</v>
      </c>
      <c r="S39">
        <v>13.194000000000001</v>
      </c>
      <c r="T39">
        <v>12.827999999999999</v>
      </c>
      <c r="U39">
        <v>15.667</v>
      </c>
    </row>
    <row r="40" spans="1:21" x14ac:dyDescent="0.3">
      <c r="A40" s="2">
        <v>37.161000000000001</v>
      </c>
      <c r="B40">
        <v>3.5791999999999997E-2</v>
      </c>
      <c r="C40">
        <v>1.3873E-2</v>
      </c>
      <c r="D40">
        <v>3.5261000000000001E-2</v>
      </c>
      <c r="E40">
        <v>1.3479E-2</v>
      </c>
      <c r="F40" s="5">
        <f>(N$2*$A40)/(B40*$M$2)</f>
        <v>3131.9660477337902</v>
      </c>
      <c r="G40" s="5">
        <f>(O$2*$A40)/(C40*$M$2)</f>
        <v>11547.99319492949</v>
      </c>
      <c r="H40" s="5">
        <f>(P$2*$A40)/(D40*$M$2)</f>
        <v>4148.7224383046096</v>
      </c>
      <c r="I40" s="5">
        <f>(Q$2*$A40)/(E40*$M$2)</f>
        <v>14347.770711877325</v>
      </c>
      <c r="J40" s="7">
        <f t="shared" si="2"/>
        <v>3.6871386914571822</v>
      </c>
      <c r="K40" s="8">
        <f t="shared" si="0"/>
        <v>3.4583587900232229</v>
      </c>
      <c r="L40" s="8">
        <f t="shared" si="1"/>
        <v>4.5810747923844835</v>
      </c>
      <c r="R40">
        <v>7.0761000000000003</v>
      </c>
      <c r="S40">
        <v>9.6076999999999995</v>
      </c>
      <c r="T40">
        <v>9.3260000000000005</v>
      </c>
      <c r="U40">
        <v>11.417999999999999</v>
      </c>
    </row>
    <row r="41" spans="1:21" x14ac:dyDescent="0.3">
      <c r="A41" s="2">
        <v>37.171999999999997</v>
      </c>
      <c r="B41">
        <v>3.5791000000000003E-2</v>
      </c>
      <c r="C41">
        <v>1.3873E-2</v>
      </c>
      <c r="D41">
        <v>3.526E-2</v>
      </c>
      <c r="E41">
        <v>1.3479E-2</v>
      </c>
      <c r="F41" s="5">
        <f>(N$2*$A41)/(B41*$M$2)</f>
        <v>3132.9806716636081</v>
      </c>
      <c r="G41" s="5">
        <f>(O$2*$A41)/(C41*$M$2)</f>
        <v>11551.411507815152</v>
      </c>
      <c r="H41" s="5">
        <f>(P$2*$A41)/(D41*$M$2)</f>
        <v>4150.0681942544461</v>
      </c>
      <c r="I41" s="5">
        <f>(Q$2*$A41)/(E41*$M$2)</f>
        <v>14352.017784825595</v>
      </c>
      <c r="J41" s="7">
        <f t="shared" si="2"/>
        <v>3.6870356757360296</v>
      </c>
      <c r="K41" s="8">
        <f t="shared" si="0"/>
        <v>3.4582607111601731</v>
      </c>
      <c r="L41" s="8">
        <f t="shared" si="1"/>
        <v>4.5809468007999854</v>
      </c>
      <c r="R41">
        <v>3.8538999999999999</v>
      </c>
      <c r="S41">
        <v>5.2549000000000001</v>
      </c>
      <c r="T41">
        <v>5.0929000000000002</v>
      </c>
      <c r="U41">
        <v>6.2523999999999997</v>
      </c>
    </row>
    <row r="42" spans="1:21" x14ac:dyDescent="0.3">
      <c r="A42" s="2">
        <v>37.301000000000002</v>
      </c>
      <c r="B42">
        <v>3.5735999999999997E-2</v>
      </c>
      <c r="C42">
        <v>1.3858000000000001E-2</v>
      </c>
      <c r="D42">
        <v>3.5206000000000001E-2</v>
      </c>
      <c r="E42">
        <v>1.3465E-2</v>
      </c>
      <c r="F42" s="5">
        <f>(N$2*$A42)/(B42*$M$2)</f>
        <v>3148.6918158637604</v>
      </c>
      <c r="G42" s="5">
        <f>(O$2*$A42)/(C42*$M$2)</f>
        <v>11604.04571811899</v>
      </c>
      <c r="H42" s="5">
        <f>(P$2*$A42)/(D42*$M$2)</f>
        <v>4170.8579875255227</v>
      </c>
      <c r="I42" s="5">
        <f>(Q$2*$A42)/(E42*$M$2)</f>
        <v>14416.798414455669</v>
      </c>
      <c r="J42" s="7">
        <f t="shared" si="2"/>
        <v>3.6853545525336613</v>
      </c>
      <c r="K42" s="8">
        <f t="shared" si="0"/>
        <v>3.4565546124021438</v>
      </c>
      <c r="L42" s="8">
        <f t="shared" si="1"/>
        <v>4.5786629043277136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s="2">
        <v>37.454000000000001</v>
      </c>
      <c r="B43">
        <v>3.5723999999999999E-2</v>
      </c>
      <c r="C43">
        <v>1.3857E-2</v>
      </c>
      <c r="D43">
        <v>3.5194999999999997E-2</v>
      </c>
      <c r="E43">
        <v>1.3464E-2</v>
      </c>
      <c r="F43" s="5">
        <f>(N$2*$A43)/(B43*$M$2)</f>
        <v>3162.6690262199904</v>
      </c>
      <c r="G43" s="5">
        <f>(O$2*$A43)/(C43*$M$2)</f>
        <v>11652.483655402501</v>
      </c>
      <c r="H43" s="5">
        <f>(P$2*$A43)/(D43*$M$2)</f>
        <v>4189.2747992278319</v>
      </c>
      <c r="I43" s="5">
        <f>(Q$2*$A43)/(E43*$M$2)</f>
        <v>14477.007916642151</v>
      </c>
      <c r="J43" s="7">
        <f t="shared" si="2"/>
        <v>3.6843828926764122</v>
      </c>
      <c r="K43" s="8">
        <f t="shared" si="0"/>
        <v>3.4557312686459616</v>
      </c>
      <c r="L43" s="8">
        <f t="shared" si="1"/>
        <v>4.5774653612569169</v>
      </c>
    </row>
    <row r="44" spans="1:21" x14ac:dyDescent="0.3">
      <c r="A44" s="2">
        <v>37.829000000000001</v>
      </c>
      <c r="B44">
        <v>3.5694999999999998E-2</v>
      </c>
      <c r="C44">
        <v>1.3854999999999999E-2</v>
      </c>
      <c r="D44">
        <v>3.5166000000000003E-2</v>
      </c>
      <c r="E44">
        <v>1.3462999999999999E-2</v>
      </c>
      <c r="F44" s="5">
        <f>(N$2*$A44)/(B44*$M$2)</f>
        <v>3196.9297606073142</v>
      </c>
      <c r="G44" s="5">
        <f>(O$2*$A44)/(C44*$M$2)</f>
        <v>11770.850507795692</v>
      </c>
      <c r="H44" s="5">
        <f>(P$2*$A44)/(D44*$M$2)</f>
        <v>4234.7083166059465</v>
      </c>
      <c r="I44" s="5">
        <f>(Q$2*$A44)/(E44*$M$2)</f>
        <v>14623.041883056709</v>
      </c>
      <c r="J44" s="7">
        <f t="shared" si="2"/>
        <v>3.6819234043977271</v>
      </c>
      <c r="K44" s="8">
        <f t="shared" si="0"/>
        <v>3.4531402849433679</v>
      </c>
      <c r="L44" s="8">
        <f t="shared" si="1"/>
        <v>4.574089197467635</v>
      </c>
    </row>
    <row r="45" spans="1:21" x14ac:dyDescent="0.3">
      <c r="A45" s="2">
        <v>37.883000000000003</v>
      </c>
      <c r="B45">
        <v>3.5693999999999997E-2</v>
      </c>
      <c r="C45">
        <v>1.3856E-2</v>
      </c>
      <c r="D45">
        <v>3.5166000000000003E-2</v>
      </c>
      <c r="E45">
        <v>1.3464E-2</v>
      </c>
      <c r="F45" s="5">
        <f>(N$2*$A45)/(B45*$M$2)</f>
        <v>3201.5829947507755</v>
      </c>
      <c r="G45" s="5">
        <f>(O$2*$A45)/(C45*$M$2)</f>
        <v>11786.802392087418</v>
      </c>
      <c r="H45" s="5">
        <f>(P$2*$A45)/(D45*$M$2)</f>
        <v>4240.7532622586668</v>
      </c>
      <c r="I45" s="5">
        <f>(Q$2*$A45)/(E45*$M$2)</f>
        <v>14642.82829353753</v>
      </c>
      <c r="J45" s="7">
        <f t="shared" si="2"/>
        <v>3.6815545345576624</v>
      </c>
      <c r="K45" s="8">
        <f t="shared" si="0"/>
        <v>3.4528838128485257</v>
      </c>
      <c r="L45" s="8">
        <f t="shared" si="1"/>
        <v>4.5736213359283502</v>
      </c>
    </row>
    <row r="46" spans="1:21" x14ac:dyDescent="0.3">
      <c r="A46" s="2">
        <v>38.002000000000002</v>
      </c>
      <c r="B46">
        <v>3.5692000000000002E-2</v>
      </c>
      <c r="C46">
        <v>1.3858000000000001E-2</v>
      </c>
      <c r="D46">
        <v>3.5164000000000001E-2</v>
      </c>
      <c r="E46">
        <v>1.3466000000000001E-2</v>
      </c>
      <c r="F46" s="5">
        <f>(N$2*$A46)/(B46*$M$2)</f>
        <v>3211.8199336874018</v>
      </c>
      <c r="G46" s="5">
        <f>(O$2*$A46)/(C46*$M$2)</f>
        <v>11822.121266989032</v>
      </c>
      <c r="H46" s="5">
        <f>(P$2*$A46)/(D46*$M$2)</f>
        <v>4254.3164876176843</v>
      </c>
      <c r="I46" s="5">
        <f>(Q$2*$A46)/(E46*$M$2)</f>
        <v>14686.643471383686</v>
      </c>
      <c r="J46" s="7">
        <f t="shared" si="2"/>
        <v>3.6808169545844933</v>
      </c>
      <c r="K46" s="8">
        <f t="shared" si="0"/>
        <v>3.4521746358385896</v>
      </c>
      <c r="L46" s="8">
        <f t="shared" si="1"/>
        <v>4.5726858213132626</v>
      </c>
    </row>
    <row r="47" spans="1:21" x14ac:dyDescent="0.3">
      <c r="A47" s="2">
        <v>38.119</v>
      </c>
      <c r="B47">
        <v>3.5762000000000002E-2</v>
      </c>
      <c r="C47">
        <v>1.3884000000000001E-2</v>
      </c>
      <c r="D47">
        <v>3.5233E-2</v>
      </c>
      <c r="E47">
        <v>1.349E-2</v>
      </c>
      <c r="F47" s="5">
        <f>(N$2*$A47)/(B47*$M$2)</f>
        <v>3215.4023142155252</v>
      </c>
      <c r="G47" s="5">
        <f>(O$2*$A47)/(C47*$M$2)</f>
        <v>11836.312075985608</v>
      </c>
      <c r="H47" s="5">
        <f>(P$2*$A47)/(D47*$M$2)</f>
        <v>4259.0573472229407</v>
      </c>
      <c r="I47" s="5">
        <f>(Q$2*$A47)/(E47*$M$2)</f>
        <v>14705.651105234438</v>
      </c>
      <c r="J47" s="7">
        <f t="shared" si="2"/>
        <v>3.6811294262171859</v>
      </c>
      <c r="K47" s="8">
        <f t="shared" si="0"/>
        <v>3.4527948102936565</v>
      </c>
      <c r="L47" s="8">
        <f t="shared" si="1"/>
        <v>4.5735026812102779</v>
      </c>
    </row>
    <row r="48" spans="1:21" x14ac:dyDescent="0.3">
      <c r="A48" s="2">
        <v>38.228000000000002</v>
      </c>
      <c r="B48">
        <v>3.5714000000000003E-2</v>
      </c>
      <c r="C48">
        <v>1.387E-2</v>
      </c>
      <c r="D48">
        <v>3.5186000000000002E-2</v>
      </c>
      <c r="E48">
        <v>1.3478E-2</v>
      </c>
      <c r="F48" s="5">
        <f>(N$2*$A48)/(B48*$M$2)</f>
        <v>3228.9305416882357</v>
      </c>
      <c r="G48" s="5">
        <f>(O$2*$A48)/(C48*$M$2)</f>
        <v>11882.139026355613</v>
      </c>
      <c r="H48" s="5">
        <f>(P$2*$A48)/(D48*$M$2)</f>
        <v>4276.9413185725616</v>
      </c>
      <c r="I48" s="5">
        <f>(Q$2*$A48)/(E48*$M$2)</f>
        <v>14760.83188630049</v>
      </c>
      <c r="J48" s="7">
        <f t="shared" si="2"/>
        <v>3.679899233801132</v>
      </c>
      <c r="K48" s="8">
        <f t="shared" si="0"/>
        <v>3.4512589223989982</v>
      </c>
      <c r="L48" s="8">
        <f t="shared" si="1"/>
        <v>4.5714306008523913</v>
      </c>
    </row>
    <row r="49" spans="1:12" x14ac:dyDescent="0.3">
      <c r="A49" s="2">
        <v>38.308999999999997</v>
      </c>
      <c r="B49">
        <v>3.5718E-2</v>
      </c>
      <c r="C49">
        <v>1.3873E-2</v>
      </c>
      <c r="D49">
        <v>3.5189999999999999E-2</v>
      </c>
      <c r="E49">
        <v>1.3480000000000001E-2</v>
      </c>
      <c r="F49" s="5">
        <f>(N$2*$A49)/(B49*$M$2)</f>
        <v>3235.4098432299625</v>
      </c>
      <c r="G49" s="5">
        <f>(O$2*$A49)/(C49*$M$2)</f>
        <v>11904.740757906236</v>
      </c>
      <c r="H49" s="5">
        <f>(P$2*$A49)/(D49*$M$2)</f>
        <v>4285.5163987931064</v>
      </c>
      <c r="I49" s="5">
        <f>(Q$2*$A49)/(E49*$M$2)</f>
        <v>14789.913432674575</v>
      </c>
      <c r="J49" s="7">
        <f t="shared" si="2"/>
        <v>3.6795155280919647</v>
      </c>
      <c r="K49" s="8">
        <f t="shared" si="0"/>
        <v>3.4511391525277406</v>
      </c>
      <c r="L49" s="8">
        <f t="shared" si="1"/>
        <v>4.5712642754123429</v>
      </c>
    </row>
    <row r="50" spans="1:12" x14ac:dyDescent="0.3">
      <c r="A50" s="2">
        <v>38.509</v>
      </c>
      <c r="B50">
        <v>3.5728000000000003E-2</v>
      </c>
      <c r="C50">
        <v>1.388E-2</v>
      </c>
      <c r="D50">
        <v>3.5200000000000002E-2</v>
      </c>
      <c r="E50">
        <v>1.3488E-2</v>
      </c>
      <c r="F50" s="5">
        <f>(N$2*$A50)/(B50*$M$2)</f>
        <v>3251.3906698852034</v>
      </c>
      <c r="G50" s="5">
        <f>(O$2*$A50)/(C50*$M$2)</f>
        <v>11960.856725251073</v>
      </c>
      <c r="H50" s="5">
        <f>(P$2*$A50)/(D50*$M$2)</f>
        <v>4306.6659847092242</v>
      </c>
      <c r="I50" s="5">
        <f>(Q$2*$A50)/(E50*$M$2)</f>
        <v>14858.30922470433</v>
      </c>
      <c r="J50" s="7">
        <f t="shared" si="2"/>
        <v>3.6786895023209789</v>
      </c>
      <c r="K50" s="8">
        <f t="shared" si="0"/>
        <v>3.4500723477183075</v>
      </c>
      <c r="L50" s="8">
        <f t="shared" si="1"/>
        <v>4.5698320298215442</v>
      </c>
    </row>
    <row r="51" spans="1:12" x14ac:dyDescent="0.3">
      <c r="A51" s="2">
        <v>38.673000000000002</v>
      </c>
      <c r="B51">
        <v>3.5836E-2</v>
      </c>
      <c r="C51">
        <v>1.3919000000000001E-2</v>
      </c>
      <c r="D51">
        <v>3.5306999999999998E-2</v>
      </c>
      <c r="E51">
        <v>1.3524E-2</v>
      </c>
      <c r="F51" s="5">
        <f>(N$2*$A51)/(B51*$M$2)</f>
        <v>3255.3969710251858</v>
      </c>
      <c r="G51" s="5">
        <f>(O$2*$A51)/(C51*$M$2)</f>
        <v>11978.13880683722</v>
      </c>
      <c r="H51" s="5">
        <f>(P$2*$A51)/(D51*$M$2)</f>
        <v>4311.89978033018</v>
      </c>
      <c r="I51" s="5">
        <f>(Q$2*$A51)/(E51*$M$2)</f>
        <v>14881.866685751707</v>
      </c>
      <c r="J51" s="7">
        <f t="shared" si="2"/>
        <v>3.6794710179585497</v>
      </c>
      <c r="K51" s="8">
        <f t="shared" si="0"/>
        <v>3.451348000628192</v>
      </c>
      <c r="L51" s="8">
        <f t="shared" si="1"/>
        <v>4.5714445329428219</v>
      </c>
    </row>
    <row r="52" spans="1:12" x14ac:dyDescent="0.3">
      <c r="A52" s="2">
        <v>39.148000000000003</v>
      </c>
      <c r="B52">
        <v>3.6152999999999998E-2</v>
      </c>
      <c r="C52">
        <v>1.4030000000000001E-2</v>
      </c>
      <c r="D52">
        <v>3.5617999999999997E-2</v>
      </c>
      <c r="E52">
        <v>1.3632E-2</v>
      </c>
      <c r="F52" s="5">
        <f>(N$2*$A52)/(B52*$M$2)</f>
        <v>3266.4864299626324</v>
      </c>
      <c r="G52" s="5">
        <f>(O$2*$A52)/(C52*$M$2)</f>
        <v>12029.329524660723</v>
      </c>
      <c r="H52" s="5">
        <f>(P$2*$A52)/(D52*$M$2)</f>
        <v>4326.7486086017325</v>
      </c>
      <c r="I52" s="5">
        <f>(Q$2*$A52)/(E52*$M$2)</f>
        <v>14945.302539261149</v>
      </c>
      <c r="J52" s="7">
        <f t="shared" si="2"/>
        <v>3.6826510021039134</v>
      </c>
      <c r="K52" s="8">
        <f t="shared" si="0"/>
        <v>3.4541647530779458</v>
      </c>
      <c r="L52" s="8">
        <f t="shared" si="1"/>
        <v>4.5753450564410025</v>
      </c>
    </row>
    <row r="53" spans="1:12" x14ac:dyDescent="0.3">
      <c r="A53" s="2">
        <v>39.18</v>
      </c>
      <c r="B53">
        <v>3.6181999999999999E-2</v>
      </c>
      <c r="C53">
        <v>1.404E-2</v>
      </c>
      <c r="D53">
        <v>3.5646999999999998E-2</v>
      </c>
      <c r="E53">
        <v>1.3642E-2</v>
      </c>
      <c r="F53" s="5">
        <f>(N$2*$A53)/(B53*$M$2)</f>
        <v>3266.5362510128334</v>
      </c>
      <c r="G53" s="5">
        <f>(O$2*$A53)/(C53*$M$2)</f>
        <v>12030.587527130923</v>
      </c>
      <c r="H53" s="5">
        <f>(P$2*$A53)/(D53*$M$2)</f>
        <v>4326.7625111592597</v>
      </c>
      <c r="I53" s="5">
        <f>(Q$2*$A53)/(E53*$M$2)</f>
        <v>14946.554676386553</v>
      </c>
      <c r="J53" s="7">
        <f t="shared" si="2"/>
        <v>3.6829799526641342</v>
      </c>
      <c r="K53" s="8">
        <f t="shared" si="0"/>
        <v>3.4544430478533377</v>
      </c>
      <c r="L53" s="8">
        <f t="shared" si="1"/>
        <v>4.5756585960900242</v>
      </c>
    </row>
    <row r="54" spans="1:12" x14ac:dyDescent="0.3">
      <c r="A54" s="2">
        <v>39.183999999999997</v>
      </c>
      <c r="B54">
        <v>3.6183E-2</v>
      </c>
      <c r="C54">
        <v>1.404E-2</v>
      </c>
      <c r="D54">
        <v>3.5647999999999999E-2</v>
      </c>
      <c r="E54">
        <v>1.3642E-2</v>
      </c>
      <c r="F54" s="5">
        <f>(N$2*$A54)/(B54*$M$2)</f>
        <v>3266.7794537658501</v>
      </c>
      <c r="G54" s="5">
        <f>(O$2*$A54)/(C54*$M$2)</f>
        <v>12031.815764754929</v>
      </c>
      <c r="H54" s="5">
        <f>(P$2*$A54)/(D54*$M$2)</f>
        <v>4327.0828558981948</v>
      </c>
      <c r="I54" s="5">
        <f>(Q$2*$A54)/(E54*$M$2)</f>
        <v>14948.080613566377</v>
      </c>
      <c r="J54" s="7">
        <f t="shared" si="2"/>
        <v>3.6830817430558391</v>
      </c>
      <c r="K54" s="8">
        <f t="shared" si="0"/>
        <v>3.4545399548314237</v>
      </c>
      <c r="L54" s="8">
        <f t="shared" si="1"/>
        <v>4.5757850583805579</v>
      </c>
    </row>
    <row r="55" spans="1:12" x14ac:dyDescent="0.3">
      <c r="A55" s="2">
        <v>39.643000000000001</v>
      </c>
      <c r="B55">
        <v>3.6025000000000001E-2</v>
      </c>
      <c r="C55">
        <v>1.4005E-2</v>
      </c>
      <c r="D55">
        <v>3.5492999999999997E-2</v>
      </c>
      <c r="E55">
        <v>1.3609E-2</v>
      </c>
      <c r="F55" s="5">
        <f>(N$2*$A55)/(B55*$M$2)</f>
        <v>3319.5418087033058</v>
      </c>
      <c r="G55" s="5">
        <f>(O$2*$A55)/(C55*$M$2)</f>
        <v>12203.177057537863</v>
      </c>
      <c r="H55" s="5">
        <f>(P$2*$A55)/(D55*$M$2)</f>
        <v>4396.8881299709474</v>
      </c>
      <c r="I55" s="5">
        <f>(Q$2*$A55)/(E55*$M$2)</f>
        <v>15159.853593015338</v>
      </c>
      <c r="J55" s="7">
        <f t="shared" si="2"/>
        <v>3.6761630853821727</v>
      </c>
      <c r="K55" s="8">
        <f t="shared" si="0"/>
        <v>3.4478597464601646</v>
      </c>
      <c r="L55" s="8">
        <f t="shared" si="1"/>
        <v>4.5668512302717907</v>
      </c>
    </row>
    <row r="56" spans="1:12" x14ac:dyDescent="0.3">
      <c r="A56" s="2">
        <v>40.073999999999998</v>
      </c>
      <c r="B56">
        <v>3.5876999999999999E-2</v>
      </c>
      <c r="C56">
        <v>1.3972999999999999E-2</v>
      </c>
      <c r="D56">
        <v>3.5348999999999998E-2</v>
      </c>
      <c r="E56">
        <v>1.3578E-2</v>
      </c>
      <c r="F56" s="5">
        <f>(N$2*$A56)/(B56*$M$2)</f>
        <v>3369.4746481372335</v>
      </c>
      <c r="G56" s="5">
        <f>(O$2*$A56)/(C56*$M$2)</f>
        <v>12364.101112916987</v>
      </c>
      <c r="H56" s="5">
        <f>(P$2*$A56)/(D56*$M$2)</f>
        <v>4462.797427500238</v>
      </c>
      <c r="I56" s="5">
        <f>(Q$2*$A56)/(E56*$M$2)</f>
        <v>15359.659855602344</v>
      </c>
      <c r="J56" s="7">
        <f t="shared" si="2"/>
        <v>3.6694447663383687</v>
      </c>
      <c r="K56" s="8">
        <f t="shared" si="0"/>
        <v>3.4417111923912267</v>
      </c>
      <c r="L56" s="8">
        <f t="shared" si="1"/>
        <v>4.5584731922804984</v>
      </c>
    </row>
    <row r="57" spans="1:12" x14ac:dyDescent="0.3">
      <c r="A57" s="2">
        <v>40.274000000000001</v>
      </c>
      <c r="B57">
        <v>3.5971000000000003E-2</v>
      </c>
      <c r="C57">
        <v>1.4008E-2</v>
      </c>
      <c r="D57">
        <v>3.5441E-2</v>
      </c>
      <c r="E57">
        <v>1.3612000000000001E-2</v>
      </c>
      <c r="F57" s="5">
        <f>(N$2*$A57)/(B57*$M$2)</f>
        <v>3377.4418010172149</v>
      </c>
      <c r="G57" s="5">
        <f>(O$2*$A57)/(C57*$M$2)</f>
        <v>12394.760684097711</v>
      </c>
      <c r="H57" s="5">
        <f>(P$2*$A57)/(D57*$M$2)</f>
        <v>4473.4275797223891</v>
      </c>
      <c r="I57" s="5">
        <f>(Q$2*$A57)/(E57*$M$2)</f>
        <v>15397.759570212114</v>
      </c>
      <c r="J57" s="7">
        <f t="shared" si="2"/>
        <v>3.6698665482154773</v>
      </c>
      <c r="K57" s="8">
        <f t="shared" si="0"/>
        <v>3.442049590789992</v>
      </c>
      <c r="L57" s="8">
        <f t="shared" si="1"/>
        <v>4.5590007104118362</v>
      </c>
    </row>
    <row r="58" spans="1:12" x14ac:dyDescent="0.3">
      <c r="A58" s="2">
        <v>40.395000000000003</v>
      </c>
      <c r="B58">
        <v>3.5933E-2</v>
      </c>
      <c r="C58">
        <v>1.3998999999999999E-2</v>
      </c>
      <c r="D58">
        <v>3.5403999999999998E-2</v>
      </c>
      <c r="E58">
        <v>1.3603000000000001E-2</v>
      </c>
      <c r="F58" s="5">
        <f>(N$2*$A58)/(B58*$M$2)</f>
        <v>3391.1715095777849</v>
      </c>
      <c r="G58" s="5">
        <f>(O$2*$A58)/(C58*$M$2)</f>
        <v>12439.992318317878</v>
      </c>
      <c r="H58" s="5">
        <f>(P$2*$A58)/(D58*$M$2)</f>
        <v>4491.5567678461075</v>
      </c>
      <c r="I58" s="5">
        <f>(Q$2*$A58)/(E58*$M$2)</f>
        <v>15454.238956751769</v>
      </c>
      <c r="J58" s="7">
        <f t="shared" si="2"/>
        <v>3.668346553155228</v>
      </c>
      <c r="K58" s="8">
        <f t="shared" si="0"/>
        <v>3.4407310773370754</v>
      </c>
      <c r="L58" s="8">
        <f t="shared" si="1"/>
        <v>4.5571976861399994</v>
      </c>
    </row>
    <row r="59" spans="1:12" x14ac:dyDescent="0.3">
      <c r="A59" s="2">
        <v>40.399000000000001</v>
      </c>
      <c r="B59">
        <v>3.5936000000000003E-2</v>
      </c>
      <c r="C59">
        <v>1.4E-2</v>
      </c>
      <c r="D59">
        <v>3.5408000000000002E-2</v>
      </c>
      <c r="E59">
        <v>1.3604E-2</v>
      </c>
      <c r="F59" s="5">
        <f>(N$2*$A59)/(B59*$M$2)</f>
        <v>3391.2241817431532</v>
      </c>
      <c r="G59" s="5">
        <f>(O$2*$A59)/(C59*$M$2)</f>
        <v>12440.335494312358</v>
      </c>
      <c r="H59" s="5">
        <f>(P$2*$A59)/(D59*$M$2)</f>
        <v>4491.494075366817</v>
      </c>
      <c r="I59" s="5">
        <f>(Q$2*$A59)/(E59*$M$2)</f>
        <v>15454.633149345889</v>
      </c>
      <c r="J59" s="7">
        <f t="shared" si="2"/>
        <v>3.6683907720656177</v>
      </c>
      <c r="K59" s="8">
        <f t="shared" si="0"/>
        <v>3.4408668674651923</v>
      </c>
      <c r="L59" s="8">
        <f t="shared" si="1"/>
        <v>4.5572431432126423</v>
      </c>
    </row>
    <row r="60" spans="1:12" x14ac:dyDescent="0.3">
      <c r="A60" s="2">
        <v>40.612000000000002</v>
      </c>
      <c r="B60">
        <v>3.5833999999999998E-2</v>
      </c>
      <c r="C60">
        <v>1.3972999999999999E-2</v>
      </c>
      <c r="D60">
        <v>3.5306999999999998E-2</v>
      </c>
      <c r="E60">
        <v>1.3578E-2</v>
      </c>
      <c r="F60" s="5">
        <f>(N$2*$A60)/(B60*$M$2)</f>
        <v>3418.8079722623429</v>
      </c>
      <c r="G60" s="5">
        <f>(O$2*$A60)/(C60*$M$2)</f>
        <v>12530.091191240825</v>
      </c>
      <c r="H60" s="5">
        <f>(P$2*$A60)/(D60*$M$2)</f>
        <v>4528.0912750179523</v>
      </c>
      <c r="I60" s="5">
        <f>(Q$2*$A60)/(E60*$M$2)</f>
        <v>15565.865799663685</v>
      </c>
      <c r="J60" s="7">
        <f t="shared" si="2"/>
        <v>3.6650467920107346</v>
      </c>
      <c r="K60" s="8">
        <f t="shared" si="0"/>
        <v>3.437621914898783</v>
      </c>
      <c r="L60" s="8">
        <f t="shared" si="1"/>
        <v>4.5530096823084261</v>
      </c>
    </row>
    <row r="61" spans="1:12" x14ac:dyDescent="0.3">
      <c r="A61" s="2">
        <v>40.630000000000003</v>
      </c>
      <c r="B61">
        <v>3.5831000000000002E-2</v>
      </c>
      <c r="C61">
        <v>1.3972999999999999E-2</v>
      </c>
      <c r="D61">
        <v>3.5304000000000002E-2</v>
      </c>
      <c r="E61">
        <v>1.3578E-2</v>
      </c>
      <c r="F61" s="5">
        <f>(N$2*$A61)/(B61*$M$2)</f>
        <v>3420.609623360614</v>
      </c>
      <c r="G61" s="5">
        <f>(O$2*$A61)/(C61*$M$2)</f>
        <v>12535.644762634558</v>
      </c>
      <c r="H61" s="5">
        <f>(P$2*$A61)/(D61*$M$2)</f>
        <v>4530.4831605483805</v>
      </c>
      <c r="I61" s="5">
        <f>(Q$2*$A61)/(E61*$M$2)</f>
        <v>15572.764883293989</v>
      </c>
      <c r="J61" s="7">
        <f t="shared" si="2"/>
        <v>3.6647399565925274</v>
      </c>
      <c r="K61" s="8">
        <f t="shared" si="0"/>
        <v>3.4373298236493222</v>
      </c>
      <c r="L61" s="8">
        <f t="shared" si="1"/>
        <v>4.5526285071940951</v>
      </c>
    </row>
    <row r="62" spans="1:12" x14ac:dyDescent="0.3">
      <c r="A62" s="2">
        <v>40.637</v>
      </c>
      <c r="B62">
        <v>3.5836E-2</v>
      </c>
      <c r="C62">
        <v>1.3975E-2</v>
      </c>
      <c r="D62">
        <v>3.5310000000000001E-2</v>
      </c>
      <c r="E62">
        <v>1.358E-2</v>
      </c>
      <c r="F62" s="5">
        <f>(N$2*$A62)/(B62*$M$2)</f>
        <v>3420.7216071044518</v>
      </c>
      <c r="G62" s="5">
        <f>(O$2*$A62)/(C62*$M$2)</f>
        <v>12536.010165775633</v>
      </c>
      <c r="H62" s="5">
        <f>(P$2*$A62)/(D62*$M$2)</f>
        <v>4530.4937332367108</v>
      </c>
      <c r="I62" s="5">
        <f>(Q$2*$A62)/(E62*$M$2)</f>
        <v>15573.153979869539</v>
      </c>
      <c r="J62" s="7">
        <f t="shared" si="2"/>
        <v>3.664726804934888</v>
      </c>
      <c r="K62" s="8">
        <f t="shared" si="0"/>
        <v>3.4374076859706073</v>
      </c>
      <c r="L62" s="8">
        <f t="shared" si="1"/>
        <v>4.5525932152812025</v>
      </c>
    </row>
    <row r="63" spans="1:12" x14ac:dyDescent="0.3">
      <c r="A63" s="2">
        <v>41.384999999999998</v>
      </c>
      <c r="B63">
        <v>3.6441000000000001E-2</v>
      </c>
      <c r="C63">
        <v>1.4180999999999999E-2</v>
      </c>
      <c r="D63">
        <v>3.5903999999999998E-2</v>
      </c>
      <c r="E63">
        <v>1.3780000000000001E-2</v>
      </c>
      <c r="F63" s="5">
        <f>(N$2*$A63)/(B63*$M$2)</f>
        <v>3425.8496025315894</v>
      </c>
      <c r="G63" s="5">
        <f>(O$2*$A63)/(C63*$M$2)</f>
        <v>12581.302826583995</v>
      </c>
      <c r="H63" s="5">
        <f>(P$2*$A63)/(D63*$M$2)</f>
        <v>4537.5532731892899</v>
      </c>
      <c r="I63" s="5">
        <f>(Q$2*$A63)/(E63*$M$2)</f>
        <v>15629.621131565296</v>
      </c>
      <c r="J63" s="7">
        <f t="shared" si="2"/>
        <v>3.6724621002880071</v>
      </c>
      <c r="K63" s="8">
        <f t="shared" si="0"/>
        <v>3.4445041612877358</v>
      </c>
      <c r="L63" s="8">
        <f t="shared" si="1"/>
        <v>4.5622613205248488</v>
      </c>
    </row>
    <row r="64" spans="1:12" x14ac:dyDescent="0.3">
      <c r="A64" s="2">
        <v>41.743000000000002</v>
      </c>
      <c r="B64">
        <v>3.6469000000000001E-2</v>
      </c>
      <c r="C64">
        <v>1.4199E-2</v>
      </c>
      <c r="D64">
        <v>3.5931999999999999E-2</v>
      </c>
      <c r="E64">
        <v>1.3797E-2</v>
      </c>
      <c r="F64" s="5">
        <f>(N$2*$A64)/(B64*$M$2)</f>
        <v>3452.8318003463019</v>
      </c>
      <c r="G64" s="5">
        <f>(O$2*$A64)/(C64*$M$2)</f>
        <v>12674.049877974512</v>
      </c>
      <c r="H64" s="5">
        <f>(P$2*$A64)/(D64*$M$2)</f>
        <v>4573.2388003320002</v>
      </c>
      <c r="I64" s="5">
        <f>(Q$2*$A64)/(E64*$M$2)</f>
        <v>15745.400154099574</v>
      </c>
      <c r="J64" s="7">
        <f t="shared" si="2"/>
        <v>3.6706247540651611</v>
      </c>
      <c r="K64" s="8">
        <f t="shared" si="0"/>
        <v>3.4429429210992692</v>
      </c>
      <c r="L64" s="8">
        <f t="shared" si="1"/>
        <v>4.5601410855056388</v>
      </c>
    </row>
    <row r="65" spans="1:12" x14ac:dyDescent="0.3">
      <c r="A65" s="2">
        <v>42.356999999999999</v>
      </c>
      <c r="B65">
        <v>3.6230999999999999E-2</v>
      </c>
      <c r="C65">
        <v>1.4145E-2</v>
      </c>
      <c r="D65">
        <v>3.5700000000000003E-2</v>
      </c>
      <c r="E65">
        <v>1.3745E-2</v>
      </c>
      <c r="F65" s="5">
        <f>(N$2*$A65)/(B65*$M$2)</f>
        <v>3526.6348249141183</v>
      </c>
      <c r="G65" s="5">
        <f>(O$2*$A65)/(C65*$M$2)</f>
        <v>12909.569335479579</v>
      </c>
      <c r="H65" s="5">
        <f>(P$2*$A65)/(D65*$M$2)</f>
        <v>4670.663607266436</v>
      </c>
      <c r="I65" s="5">
        <f>(Q$2*$A65)/(E65*$M$2)</f>
        <v>16037.444168767768</v>
      </c>
      <c r="J65" s="7">
        <f t="shared" si="2"/>
        <v>3.6605914636466381</v>
      </c>
      <c r="K65" s="8">
        <f t="shared" si="0"/>
        <v>3.4336542978212643</v>
      </c>
      <c r="L65" s="8">
        <f t="shared" si="1"/>
        <v>4.5475205018308964</v>
      </c>
    </row>
    <row r="66" spans="1:12" x14ac:dyDescent="0.3">
      <c r="A66" s="2">
        <v>42.576000000000001</v>
      </c>
      <c r="B66">
        <v>3.6207000000000003E-2</v>
      </c>
      <c r="C66">
        <v>1.4144E-2</v>
      </c>
      <c r="D66">
        <v>3.5677E-2</v>
      </c>
      <c r="E66">
        <v>1.3745E-2</v>
      </c>
      <c r="F66" s="5">
        <f>(N$2*$A66)/(B66*$M$2)</f>
        <v>3547.2184532434435</v>
      </c>
      <c r="G66" s="5">
        <f>(O$2*$A66)/(C66*$M$2)</f>
        <v>12977.233613514933</v>
      </c>
      <c r="H66" s="5">
        <f>(P$2*$A66)/(D66*$M$2)</f>
        <v>4697.8391351158853</v>
      </c>
      <c r="I66" s="5">
        <f>(Q$2*$A66)/(E66*$M$2)</f>
        <v>16120.363173252508</v>
      </c>
      <c r="J66" s="7">
        <f t="shared" si="2"/>
        <v>3.6584252660416325</v>
      </c>
      <c r="K66" s="8">
        <f t="shared" si="0"/>
        <v>3.4314421395901746</v>
      </c>
      <c r="L66" s="8">
        <f t="shared" si="1"/>
        <v>4.5445081507491176</v>
      </c>
    </row>
    <row r="67" spans="1:12" x14ac:dyDescent="0.3">
      <c r="A67" s="2">
        <v>42.756</v>
      </c>
      <c r="B67">
        <v>3.6186999999999997E-2</v>
      </c>
      <c r="C67">
        <v>1.4142999999999999E-2</v>
      </c>
      <c r="D67">
        <v>3.5658000000000002E-2</v>
      </c>
      <c r="E67">
        <v>1.3743999999999999E-2</v>
      </c>
      <c r="F67" s="5">
        <f>(N$2*$A67)/(B67*$M$2)</f>
        <v>3564.1839307607438</v>
      </c>
      <c r="G67" s="5">
        <f>(O$2*$A67)/(C67*$M$2)</f>
        <v>13033.019356600558</v>
      </c>
      <c r="H67" s="5">
        <f>(P$2*$A67)/(D67*$M$2)</f>
        <v>4720.2141273470515</v>
      </c>
      <c r="I67" s="5">
        <f>(Q$2*$A67)/(E67*$M$2)</f>
        <v>16189.693640256006</v>
      </c>
      <c r="J67" s="7">
        <f t="shared" ref="J67:J130" si="3">G67/F67</f>
        <v>3.6566629584177419</v>
      </c>
      <c r="K67" s="8">
        <f t="shared" ref="K67:K130" si="4">I67/H67</f>
        <v>3.429864239941856</v>
      </c>
      <c r="L67" s="8">
        <f t="shared" ref="L67:L130" si="5">I67/F67</f>
        <v>4.5423283295035946</v>
      </c>
    </row>
    <row r="68" spans="1:12" x14ac:dyDescent="0.3">
      <c r="A68" s="2">
        <v>42.822000000000003</v>
      </c>
      <c r="B68">
        <v>3.619E-2</v>
      </c>
      <c r="C68">
        <v>1.4145E-2</v>
      </c>
      <c r="D68">
        <v>3.5660999999999998E-2</v>
      </c>
      <c r="E68">
        <v>1.3746E-2</v>
      </c>
      <c r="F68" s="5">
        <f>(N$2*$A68)/(B68*$M$2)</f>
        <v>3569.3898462720472</v>
      </c>
      <c r="G68" s="5">
        <f>(O$2*$A68)/(C68*$M$2)</f>
        <v>13051.292067046925</v>
      </c>
      <c r="H68" s="5">
        <f>(P$2*$A68)/(D68*$M$2)</f>
        <v>4727.1027494197824</v>
      </c>
      <c r="I68" s="5">
        <f>(Q$2*$A68)/(E68*$M$2)</f>
        <v>16212.325561566777</v>
      </c>
      <c r="J68" s="7">
        <f t="shared" si="3"/>
        <v>3.6564490372711722</v>
      </c>
      <c r="K68" s="8">
        <f t="shared" si="4"/>
        <v>3.4296537268111469</v>
      </c>
      <c r="L68" s="8">
        <f t="shared" si="5"/>
        <v>4.5420439514331283</v>
      </c>
    </row>
    <row r="69" spans="1:12" x14ac:dyDescent="0.3">
      <c r="A69" s="2">
        <v>42.874000000000002</v>
      </c>
      <c r="B69">
        <v>3.6192000000000002E-2</v>
      </c>
      <c r="C69">
        <v>1.4147E-2</v>
      </c>
      <c r="D69">
        <v>3.5663E-2</v>
      </c>
      <c r="E69">
        <v>1.3748E-2</v>
      </c>
      <c r="F69" s="5">
        <f>(N$2*$A69)/(B69*$M$2)</f>
        <v>3573.5267731987665</v>
      </c>
      <c r="G69" s="5">
        <f>(O$2*$A69)/(C69*$M$2)</f>
        <v>13065.293293243245</v>
      </c>
      <c r="H69" s="5">
        <f>(P$2*$A69)/(D69*$M$2)</f>
        <v>4732.5775874155297</v>
      </c>
      <c r="I69" s="5">
        <f>(Q$2*$A69)/(E69*$M$2)</f>
        <v>16229.651296507867</v>
      </c>
      <c r="J69" s="7">
        <f t="shared" si="3"/>
        <v>3.6561341561037546</v>
      </c>
      <c r="K69" s="8">
        <f t="shared" si="4"/>
        <v>3.4293471151248283</v>
      </c>
      <c r="L69" s="8">
        <f t="shared" si="5"/>
        <v>4.5416341688634505</v>
      </c>
    </row>
    <row r="70" spans="1:12" x14ac:dyDescent="0.3">
      <c r="A70" s="2">
        <v>43</v>
      </c>
      <c r="B70">
        <v>3.6212000000000001E-2</v>
      </c>
      <c r="C70">
        <v>1.4156E-2</v>
      </c>
      <c r="D70">
        <v>3.5682999999999999E-2</v>
      </c>
      <c r="E70">
        <v>1.3757E-2</v>
      </c>
      <c r="F70" s="5">
        <f>(N$2*$A70)/(B70*$M$2)</f>
        <v>3582.0493408733932</v>
      </c>
      <c r="G70" s="5">
        <f>(O$2*$A70)/(C70*$M$2)</f>
        <v>13095.359182756762</v>
      </c>
      <c r="H70" s="5">
        <f>(P$2*$A70)/(D70*$M$2)</f>
        <v>4743.8255323428039</v>
      </c>
      <c r="I70" s="5">
        <f>(Q$2*$A70)/(E70*$M$2)</f>
        <v>16266.698868002917</v>
      </c>
      <c r="J70" s="7">
        <f t="shared" si="3"/>
        <v>3.6558288109911365</v>
      </c>
      <c r="K70" s="8">
        <f t="shared" si="4"/>
        <v>3.4290255316302458</v>
      </c>
      <c r="L70" s="8">
        <f t="shared" si="5"/>
        <v>4.5411710783516703</v>
      </c>
    </row>
    <row r="71" spans="1:12" x14ac:dyDescent="0.3">
      <c r="A71" s="2">
        <v>43.374000000000002</v>
      </c>
      <c r="B71">
        <v>3.6309000000000001E-2</v>
      </c>
      <c r="C71">
        <v>1.4196E-2</v>
      </c>
      <c r="D71">
        <v>3.5778999999999998E-2</v>
      </c>
      <c r="E71">
        <v>1.3795E-2</v>
      </c>
      <c r="F71" s="5">
        <f>(N$2*$A71)/(B71*$M$2)</f>
        <v>3603.552112659027</v>
      </c>
      <c r="G71" s="5">
        <f>(O$2*$A71)/(C71*$M$2)</f>
        <v>13172.038690450923</v>
      </c>
      <c r="H71" s="5">
        <f>(P$2*$A71)/(D71*$M$2)</f>
        <v>4772.2467360906749</v>
      </c>
      <c r="I71" s="5">
        <f>(Q$2*$A71)/(E71*$M$2)</f>
        <v>16362.982993859143</v>
      </c>
      <c r="J71" s="7">
        <f t="shared" si="3"/>
        <v>3.6552929661204208</v>
      </c>
      <c r="K71" s="8">
        <f t="shared" si="4"/>
        <v>3.4287797548505128</v>
      </c>
      <c r="L71" s="8">
        <f t="shared" si="5"/>
        <v>4.54079266298859</v>
      </c>
    </row>
    <row r="72" spans="1:12" x14ac:dyDescent="0.3">
      <c r="A72" s="2">
        <v>44.012999999999998</v>
      </c>
      <c r="B72">
        <v>3.6700999999999998E-2</v>
      </c>
      <c r="C72">
        <v>1.4333E-2</v>
      </c>
      <c r="D72">
        <v>3.6163000000000001E-2</v>
      </c>
      <c r="E72">
        <v>1.3927999999999999E-2</v>
      </c>
      <c r="F72" s="5">
        <f>(N$2*$A72)/(B72*$M$2)</f>
        <v>3617.5845810009832</v>
      </c>
      <c r="G72" s="5">
        <f>(O$2*$A72)/(C72*$M$2)</f>
        <v>13238.335528789947</v>
      </c>
      <c r="H72" s="5">
        <f>(P$2*$A72)/(D72*$M$2)</f>
        <v>4791.1319649918423</v>
      </c>
      <c r="I72" s="5">
        <f>(Q$2*$A72)/(E72*$M$2)</f>
        <v>16445.49395409842</v>
      </c>
      <c r="J72" s="7">
        <f t="shared" si="3"/>
        <v>3.6594405002486239</v>
      </c>
      <c r="K72" s="8">
        <f t="shared" si="4"/>
        <v>3.4324861169058658</v>
      </c>
      <c r="L72" s="8">
        <f t="shared" si="5"/>
        <v>4.5459874084127048</v>
      </c>
    </row>
    <row r="73" spans="1:12" x14ac:dyDescent="0.3">
      <c r="A73" s="2">
        <v>44.780999999999999</v>
      </c>
      <c r="B73">
        <v>3.6526000000000003E-2</v>
      </c>
      <c r="C73">
        <v>1.4304000000000001E-2</v>
      </c>
      <c r="D73">
        <v>3.5992000000000003E-2</v>
      </c>
      <c r="E73">
        <v>1.3901E-2</v>
      </c>
      <c r="F73" s="5">
        <f>(N$2*$A73)/(B73*$M$2)</f>
        <v>3698.3438993673731</v>
      </c>
      <c r="G73" s="5">
        <f>(O$2*$A73)/(C73*$M$2)</f>
        <v>13496.644206685167</v>
      </c>
      <c r="H73" s="5">
        <f>(P$2*$A73)/(D73*$M$2)</f>
        <v>4897.8944295627789</v>
      </c>
      <c r="I73" s="5">
        <f>(Q$2*$A73)/(E73*$M$2)</f>
        <v>16764.957349403652</v>
      </c>
      <c r="J73" s="7">
        <f t="shared" si="3"/>
        <v>3.6493751186832193</v>
      </c>
      <c r="K73" s="8">
        <f t="shared" si="4"/>
        <v>3.4228907116113998</v>
      </c>
      <c r="L73" s="8">
        <f t="shared" si="5"/>
        <v>4.5330985450734884</v>
      </c>
    </row>
    <row r="74" spans="1:12" x14ac:dyDescent="0.3">
      <c r="A74" s="2">
        <v>44.896000000000001</v>
      </c>
      <c r="B74">
        <v>3.6499999999999998E-2</v>
      </c>
      <c r="C74">
        <v>1.43E-2</v>
      </c>
      <c r="D74">
        <v>3.5966999999999999E-2</v>
      </c>
      <c r="E74">
        <v>1.3897E-2</v>
      </c>
      <c r="F74" s="5">
        <f>(N$2*$A74)/(B74*$M$2)</f>
        <v>3710.4826461744074</v>
      </c>
      <c r="G74" s="5">
        <f>(O$2*$A74)/(C74*$M$2)</f>
        <v>13535.08929016464</v>
      </c>
      <c r="H74" s="5">
        <f>(P$2*$A74)/(D74*$M$2)</f>
        <v>4913.8856631650915</v>
      </c>
      <c r="I74" s="5">
        <f>(Q$2*$A74)/(E74*$M$2)</f>
        <v>16812.848537131496</v>
      </c>
      <c r="J74" s="7">
        <f t="shared" si="3"/>
        <v>3.6477974918221561</v>
      </c>
      <c r="K74" s="8">
        <f t="shared" si="4"/>
        <v>3.4214977086589644</v>
      </c>
      <c r="L74" s="8">
        <f t="shared" si="5"/>
        <v>4.5311756287193337</v>
      </c>
    </row>
    <row r="75" spans="1:12" x14ac:dyDescent="0.3">
      <c r="A75" s="2">
        <v>44.944000000000003</v>
      </c>
      <c r="B75">
        <v>3.6512000000000003E-2</v>
      </c>
      <c r="C75">
        <v>1.4305E-2</v>
      </c>
      <c r="D75">
        <v>3.5978000000000003E-2</v>
      </c>
      <c r="E75">
        <v>1.3901999999999999E-2</v>
      </c>
      <c r="F75" s="5">
        <f>(N$2*$A75)/(B75*$M$2)</f>
        <v>3713.2288749706076</v>
      </c>
      <c r="G75" s="5">
        <f>(O$2*$A75)/(C75*$M$2)</f>
        <v>13544.824210013754</v>
      </c>
      <c r="H75" s="5">
        <f>(P$2*$A75)/(D75*$M$2)</f>
        <v>4917.6352934636534</v>
      </c>
      <c r="I75" s="5">
        <f>(Q$2*$A75)/(E75*$M$2)</f>
        <v>16824.770402863076</v>
      </c>
      <c r="J75" s="7">
        <f t="shared" si="3"/>
        <v>3.6477213406676876</v>
      </c>
      <c r="K75" s="8">
        <f t="shared" si="4"/>
        <v>3.421313171642876</v>
      </c>
      <c r="L75" s="8">
        <f t="shared" si="5"/>
        <v>4.5310351097052299</v>
      </c>
    </row>
    <row r="76" spans="1:12" x14ac:dyDescent="0.3">
      <c r="A76" s="2">
        <v>44.978000000000002</v>
      </c>
      <c r="B76">
        <v>3.6540000000000003E-2</v>
      </c>
      <c r="C76">
        <v>1.4314E-2</v>
      </c>
      <c r="D76">
        <v>3.6006999999999997E-2</v>
      </c>
      <c r="E76">
        <v>1.3911E-2</v>
      </c>
      <c r="F76" s="5">
        <f>(N$2*$A76)/(B76*$M$2)</f>
        <v>3713.1903827412657</v>
      </c>
      <c r="G76" s="5">
        <f>(O$2*$A76)/(C76*$M$2)</f>
        <v>13546.548009102664</v>
      </c>
      <c r="H76" s="5">
        <f>(P$2*$A76)/(D76*$M$2)</f>
        <v>4917.3918151535909</v>
      </c>
      <c r="I76" s="5">
        <f>(Q$2*$A76)/(E76*$M$2)</f>
        <v>16826.604934092695</v>
      </c>
      <c r="J76" s="7">
        <f t="shared" si="3"/>
        <v>3.6482233908787394</v>
      </c>
      <c r="K76" s="8">
        <f t="shared" si="4"/>
        <v>3.4218556435220995</v>
      </c>
      <c r="L76" s="8">
        <f t="shared" si="5"/>
        <v>4.5315761379491777</v>
      </c>
    </row>
    <row r="77" spans="1:12" x14ac:dyDescent="0.3">
      <c r="A77" s="2">
        <v>45.024000000000001</v>
      </c>
      <c r="B77">
        <v>3.6548999999999998E-2</v>
      </c>
      <c r="C77">
        <v>1.4318000000000001E-2</v>
      </c>
      <c r="D77">
        <v>3.6014999999999998E-2</v>
      </c>
      <c r="E77">
        <v>1.3915E-2</v>
      </c>
      <c r="F77" s="5">
        <f>(N$2*$A77)/(B77*$M$2)</f>
        <v>3716.0726562202835</v>
      </c>
      <c r="G77" s="5">
        <f>(O$2*$A77)/(C77*$M$2)</f>
        <v>13556.61401376361</v>
      </c>
      <c r="H77" s="5">
        <f>(P$2*$A77)/(D77*$M$2)</f>
        <v>4921.3275252958338</v>
      </c>
      <c r="I77" s="5">
        <f>(Q$2*$A77)/(E77*$M$2)</f>
        <v>16838.971961246567</v>
      </c>
      <c r="J77" s="7">
        <f t="shared" si="3"/>
        <v>3.648102517874988</v>
      </c>
      <c r="K77" s="8">
        <f t="shared" si="4"/>
        <v>3.42163204434038</v>
      </c>
      <c r="L77" s="8">
        <f t="shared" si="5"/>
        <v>4.5313893239035679</v>
      </c>
    </row>
    <row r="78" spans="1:12" x14ac:dyDescent="0.3">
      <c r="A78" s="2">
        <v>45.209000000000003</v>
      </c>
      <c r="B78">
        <v>3.6568999999999997E-2</v>
      </c>
      <c r="C78">
        <v>1.4326999999999999E-2</v>
      </c>
      <c r="D78">
        <v>3.6034999999999998E-2</v>
      </c>
      <c r="E78">
        <v>1.3924000000000001E-2</v>
      </c>
      <c r="F78" s="5">
        <f>(N$2*$A78)/(B78*$M$2)</f>
        <v>3729.3009873083233</v>
      </c>
      <c r="G78" s="5">
        <f>(O$2*$A78)/(C78*$M$2)</f>
        <v>13603.766004761303</v>
      </c>
      <c r="H78" s="5">
        <f>(P$2*$A78)/(D78*$M$2)</f>
        <v>4938.8062263812153</v>
      </c>
      <c r="I78" s="5">
        <f>(Q$2*$A78)/(E78*$M$2)</f>
        <v>16897.233083871572</v>
      </c>
      <c r="J78" s="7">
        <f t="shared" si="3"/>
        <v>3.6478058625619321</v>
      </c>
      <c r="K78" s="8">
        <f t="shared" si="4"/>
        <v>3.4213193045746584</v>
      </c>
      <c r="L78" s="8">
        <f t="shared" si="5"/>
        <v>4.5309384094705081</v>
      </c>
    </row>
    <row r="79" spans="1:12" x14ac:dyDescent="0.3">
      <c r="A79" s="2">
        <v>45.49</v>
      </c>
      <c r="B79">
        <v>3.6618999999999999E-2</v>
      </c>
      <c r="C79">
        <v>1.4347E-2</v>
      </c>
      <c r="D79">
        <v>3.6083999999999998E-2</v>
      </c>
      <c r="E79">
        <v>1.3944E-2</v>
      </c>
      <c r="F79" s="5">
        <f>(N$2*$A79)/(B79*$M$2)</f>
        <v>3747.3570630733484</v>
      </c>
      <c r="G79" s="5">
        <f>(O$2*$A79)/(C79*$M$2)</f>
        <v>13669.23946477645</v>
      </c>
      <c r="H79" s="5">
        <f>(P$2*$A79)/(D79*$M$2)</f>
        <v>4962.7554537777878</v>
      </c>
      <c r="I79" s="5">
        <f>(Q$2*$A79)/(E79*$M$2)</f>
        <v>16977.872641930702</v>
      </c>
      <c r="J79" s="7">
        <f t="shared" si="3"/>
        <v>3.6477013625079522</v>
      </c>
      <c r="K79" s="8">
        <f t="shared" si="4"/>
        <v>3.42105767653868</v>
      </c>
      <c r="L79" s="8">
        <f t="shared" si="5"/>
        <v>4.5306258133849973</v>
      </c>
    </row>
    <row r="80" spans="1:12" x14ac:dyDescent="0.3">
      <c r="A80" s="2">
        <v>45.593000000000004</v>
      </c>
      <c r="B80">
        <v>3.6638999999999998E-2</v>
      </c>
      <c r="C80">
        <v>1.4355E-2</v>
      </c>
      <c r="D80">
        <v>3.6103999999999997E-2</v>
      </c>
      <c r="E80">
        <v>1.3951E-2</v>
      </c>
      <c r="F80" s="5">
        <f>(N$2*$A80)/(B80*$M$2)</f>
        <v>3753.7917679348748</v>
      </c>
      <c r="G80" s="5">
        <f>(O$2*$A80)/(C80*$M$2)</f>
        <v>13692.554743946663</v>
      </c>
      <c r="H80" s="5">
        <f>(P$2*$A80)/(D80*$M$2)</f>
        <v>4971.2369238050869</v>
      </c>
      <c r="I80" s="5">
        <f>(Q$2*$A80)/(E80*$M$2)</f>
        <v>17007.776476275278</v>
      </c>
      <c r="J80" s="7">
        <f t="shared" si="3"/>
        <v>3.6476596440189692</v>
      </c>
      <c r="K80" s="8">
        <f t="shared" si="4"/>
        <v>3.4212363516275897</v>
      </c>
      <c r="L80" s="8">
        <f t="shared" si="5"/>
        <v>4.5308257697075192</v>
      </c>
    </row>
    <row r="81" spans="1:12" x14ac:dyDescent="0.3">
      <c r="A81" s="2">
        <v>45.853000000000002</v>
      </c>
      <c r="B81">
        <v>3.6749999999999998E-2</v>
      </c>
      <c r="C81">
        <v>1.4393E-2</v>
      </c>
      <c r="D81">
        <v>3.6213000000000002E-2</v>
      </c>
      <c r="E81">
        <v>1.3986999999999999E-2</v>
      </c>
      <c r="F81" s="5">
        <f>(N$2*$A81)/(B81*$M$2)</f>
        <v>3763.7956130744988</v>
      </c>
      <c r="G81" s="5">
        <f>(O$2*$A81)/(C81*$M$2)</f>
        <v>13734.281456612345</v>
      </c>
      <c r="H81" s="5">
        <f>(P$2*$A81)/(D81*$M$2)</f>
        <v>4984.5374495834294</v>
      </c>
      <c r="I81" s="5">
        <f>(Q$2*$A81)/(E81*$M$2)</f>
        <v>17060.74096632464</v>
      </c>
      <c r="J81" s="7">
        <f t="shared" si="3"/>
        <v>3.6490508169207794</v>
      </c>
      <c r="K81" s="8">
        <f t="shared" si="4"/>
        <v>3.4227330296716798</v>
      </c>
      <c r="L81" s="8">
        <f t="shared" si="5"/>
        <v>4.5328553195236818</v>
      </c>
    </row>
    <row r="82" spans="1:12" x14ac:dyDescent="0.3">
      <c r="A82" s="2">
        <v>46.07</v>
      </c>
      <c r="B82">
        <v>3.6846999999999998E-2</v>
      </c>
      <c r="C82">
        <v>1.4425E-2</v>
      </c>
      <c r="D82">
        <v>3.6308E-2</v>
      </c>
      <c r="E82">
        <v>1.4019E-2</v>
      </c>
      <c r="F82" s="5">
        <f>(N$2*$A82)/(B82*$M$2)</f>
        <v>3771.6527208423495</v>
      </c>
      <c r="G82" s="5">
        <f>(O$2*$A82)/(C82*$M$2)</f>
        <v>13768.6672274591</v>
      </c>
      <c r="H82" s="5">
        <f>(P$2*$A82)/(D82*$M$2)</f>
        <v>4995.0230665418103</v>
      </c>
      <c r="I82" s="5">
        <f>(Q$2*$A82)/(E82*$M$2)</f>
        <v>17102.353748136233</v>
      </c>
      <c r="J82" s="7">
        <f t="shared" si="3"/>
        <v>3.6505660108558584</v>
      </c>
      <c r="K82" s="8">
        <f t="shared" si="4"/>
        <v>3.4238788330514467</v>
      </c>
      <c r="L82" s="8">
        <f t="shared" si="5"/>
        <v>4.5344455107512243</v>
      </c>
    </row>
    <row r="83" spans="1:12" x14ac:dyDescent="0.3">
      <c r="A83" s="2">
        <v>46.087000000000003</v>
      </c>
      <c r="B83">
        <v>3.6850000000000001E-2</v>
      </c>
      <c r="C83">
        <v>1.4427000000000001E-2</v>
      </c>
      <c r="D83">
        <v>3.6311999999999997E-2</v>
      </c>
      <c r="E83">
        <v>1.4019999999999999E-2</v>
      </c>
      <c r="F83" s="5">
        <f>(N$2*$A83)/(B83*$M$2)</f>
        <v>3772.737306814045</v>
      </c>
      <c r="G83" s="5">
        <f>(O$2*$A83)/(C83*$M$2)</f>
        <v>13771.838476129613</v>
      </c>
      <c r="H83" s="5">
        <f>(P$2*$A83)/(D83*$M$2)</f>
        <v>4996.3158115774422</v>
      </c>
      <c r="I83" s="5">
        <f>(Q$2*$A83)/(E83*$M$2)</f>
        <v>17107.444275599315</v>
      </c>
      <c r="J83" s="7">
        <f t="shared" si="3"/>
        <v>3.6503571163716897</v>
      </c>
      <c r="K83" s="8">
        <f t="shared" si="4"/>
        <v>3.4240117960433998</v>
      </c>
      <c r="L83" s="8">
        <f t="shared" si="5"/>
        <v>4.534491241863325</v>
      </c>
    </row>
    <row r="84" spans="1:12" x14ac:dyDescent="0.3">
      <c r="A84" s="2">
        <v>46.12</v>
      </c>
      <c r="B84">
        <v>3.6850000000000001E-2</v>
      </c>
      <c r="C84">
        <v>1.4427000000000001E-2</v>
      </c>
      <c r="D84">
        <v>3.6311000000000003E-2</v>
      </c>
      <c r="E84">
        <v>1.4021E-2</v>
      </c>
      <c r="F84" s="5">
        <f>(N$2*$A84)/(B84*$M$2)</f>
        <v>3775.4387265446599</v>
      </c>
      <c r="G84" s="5">
        <f>(O$2*$A84)/(C84*$M$2)</f>
        <v>13781.699622867571</v>
      </c>
      <c r="H84" s="5">
        <f>(P$2*$A84)/(D84*$M$2)</f>
        <v>5000.0310552465871</v>
      </c>
      <c r="I84" s="5">
        <f>(Q$2*$A84)/(E84*$M$2)</f>
        <v>17118.472835939767</v>
      </c>
      <c r="J84" s="7">
        <f t="shared" si="3"/>
        <v>3.6503571163716901</v>
      </c>
      <c r="K84" s="8">
        <f t="shared" si="4"/>
        <v>3.4236733025842243</v>
      </c>
      <c r="L84" s="8">
        <f t="shared" si="5"/>
        <v>4.5341678347424432</v>
      </c>
    </row>
    <row r="85" spans="1:12" x14ac:dyDescent="0.3">
      <c r="A85" s="2">
        <v>47.137999999999998</v>
      </c>
      <c r="B85">
        <v>3.6887000000000003E-2</v>
      </c>
      <c r="C85">
        <v>1.4451E-2</v>
      </c>
      <c r="D85">
        <v>3.6348999999999999E-2</v>
      </c>
      <c r="E85">
        <v>1.4045E-2</v>
      </c>
      <c r="F85" s="5">
        <f>(N$2*$A85)/(B85*$M$2)</f>
        <v>3854.9028377371369</v>
      </c>
      <c r="G85" s="5">
        <f>(O$2*$A85)/(C85*$M$2)</f>
        <v>14062.507409345604</v>
      </c>
      <c r="H85" s="5">
        <f>(P$2*$A85)/(D85*$M$2)</f>
        <v>5105.0534936635531</v>
      </c>
      <c r="I85" s="5">
        <f>(Q$2*$A85)/(E85*$M$2)</f>
        <v>17466.428774797951</v>
      </c>
      <c r="J85" s="7">
        <f t="shared" si="3"/>
        <v>3.6479537880130914</v>
      </c>
      <c r="K85" s="8">
        <f t="shared" si="4"/>
        <v>3.4213997554535851</v>
      </c>
      <c r="L85" s="8">
        <f t="shared" si="5"/>
        <v>4.5309647246649938</v>
      </c>
    </row>
    <row r="86" spans="1:12" x14ac:dyDescent="0.3">
      <c r="A86" s="2">
        <v>47.194000000000003</v>
      </c>
      <c r="B86">
        <v>3.6891E-2</v>
      </c>
      <c r="C86">
        <v>1.4453000000000001E-2</v>
      </c>
      <c r="D86">
        <v>3.6352000000000002E-2</v>
      </c>
      <c r="E86">
        <v>1.4047E-2</v>
      </c>
      <c r="F86" s="5">
        <f>(N$2*$A86)/(B86*$M$2)</f>
        <v>3859.0639927380007</v>
      </c>
      <c r="G86" s="5">
        <f>(O$2*$A86)/(C86*$M$2)</f>
        <v>14077.26540924568</v>
      </c>
      <c r="H86" s="5">
        <f>(P$2*$A86)/(D86*$M$2)</f>
        <v>5110.6965010420981</v>
      </c>
      <c r="I86" s="5">
        <f>(Q$2*$A86)/(E86*$M$2)</f>
        <v>17484.689103163499</v>
      </c>
      <c r="J86" s="7">
        <f t="shared" si="3"/>
        <v>3.6478445124870498</v>
      </c>
      <c r="K86" s="8">
        <f t="shared" si="4"/>
        <v>3.4211949583776455</v>
      </c>
      <c r="L86" s="8">
        <f t="shared" si="5"/>
        <v>4.5308108743638984</v>
      </c>
    </row>
    <row r="87" spans="1:12" x14ac:dyDescent="0.3">
      <c r="A87" s="2">
        <v>47.258000000000003</v>
      </c>
      <c r="B87">
        <v>3.6894000000000003E-2</v>
      </c>
      <c r="C87">
        <v>1.4455000000000001E-2</v>
      </c>
      <c r="D87">
        <v>3.6355999999999999E-2</v>
      </c>
      <c r="E87">
        <v>1.4048E-2</v>
      </c>
      <c r="F87" s="5">
        <f>(N$2*$A87)/(B87*$M$2)</f>
        <v>3863.9830655258902</v>
      </c>
      <c r="G87" s="5">
        <f>(O$2*$A87)/(C87*$M$2)</f>
        <v>14094.405275661316</v>
      </c>
      <c r="H87" s="5">
        <f>(P$2*$A87)/(D87*$M$2)</f>
        <v>5117.0640827956231</v>
      </c>
      <c r="I87" s="5">
        <f>(Q$2*$A87)/(E87*$M$2)</f>
        <v>17507.153843412045</v>
      </c>
      <c r="J87" s="7">
        <f t="shared" si="3"/>
        <v>3.647636399188789</v>
      </c>
      <c r="K87" s="8">
        <f t="shared" si="4"/>
        <v>3.4213278474025484</v>
      </c>
      <c r="L87" s="8">
        <f t="shared" si="5"/>
        <v>4.5308567730560982</v>
      </c>
    </row>
    <row r="88" spans="1:12" x14ac:dyDescent="0.3">
      <c r="A88" s="2">
        <v>47.286999999999999</v>
      </c>
      <c r="B88">
        <v>3.6898E-2</v>
      </c>
      <c r="C88">
        <v>1.4456E-2</v>
      </c>
      <c r="D88">
        <v>3.6359000000000002E-2</v>
      </c>
      <c r="E88">
        <v>1.405E-2</v>
      </c>
      <c r="F88" s="5">
        <f>(N$2*$A88)/(B88*$M$2)</f>
        <v>3865.9350695192684</v>
      </c>
      <c r="G88" s="5">
        <f>(O$2*$A88)/(C88*$M$2)</f>
        <v>14102.078760890412</v>
      </c>
      <c r="H88" s="5">
        <f>(P$2*$A88)/(D88*$M$2)</f>
        <v>5119.7817123521481</v>
      </c>
      <c r="I88" s="5">
        <f>(Q$2*$A88)/(E88*$M$2)</f>
        <v>17515.403505057253</v>
      </c>
      <c r="J88" s="7">
        <f t="shared" si="3"/>
        <v>3.6477795170636464</v>
      </c>
      <c r="K88" s="8">
        <f t="shared" si="4"/>
        <v>3.4211231042915431</v>
      </c>
      <c r="L88" s="8">
        <f t="shared" si="5"/>
        <v>4.530702970972377</v>
      </c>
    </row>
    <row r="89" spans="1:12" x14ac:dyDescent="0.3">
      <c r="A89" s="2">
        <v>47.301000000000002</v>
      </c>
      <c r="B89">
        <v>3.6899000000000001E-2</v>
      </c>
      <c r="C89">
        <v>1.4456999999999999E-2</v>
      </c>
      <c r="D89">
        <v>3.6360000000000003E-2</v>
      </c>
      <c r="E89">
        <v>1.405E-2</v>
      </c>
      <c r="F89" s="5">
        <f>(N$2*$A89)/(B89*$M$2)</f>
        <v>3866.9748337419414</v>
      </c>
      <c r="G89" s="5">
        <f>(O$2*$A89)/(C89*$M$2)</f>
        <v>14105.278146522478</v>
      </c>
      <c r="H89" s="5">
        <f>(P$2*$A89)/(D89*$M$2)</f>
        <v>5121.1566479809744</v>
      </c>
      <c r="I89" s="5">
        <f>(Q$2*$A89)/(E89*$M$2)</f>
        <v>17520.589193493204</v>
      </c>
      <c r="J89" s="7">
        <f t="shared" si="3"/>
        <v>3.647626052138869</v>
      </c>
      <c r="K89" s="8">
        <f t="shared" si="4"/>
        <v>3.4212171971737537</v>
      </c>
      <c r="L89" s="8">
        <f t="shared" si="5"/>
        <v>4.530825760906005</v>
      </c>
    </row>
    <row r="90" spans="1:12" x14ac:dyDescent="0.3">
      <c r="A90" s="2">
        <v>47.302999999999997</v>
      </c>
      <c r="B90">
        <v>3.6899000000000001E-2</v>
      </c>
      <c r="C90">
        <v>1.4456999999999999E-2</v>
      </c>
      <c r="D90">
        <v>3.6360000000000003E-2</v>
      </c>
      <c r="E90">
        <v>1.405E-2</v>
      </c>
      <c r="F90" s="5">
        <f>(N$2*$A90)/(B90*$M$2)</f>
        <v>3867.138338734806</v>
      </c>
      <c r="G90" s="5">
        <f>(O$2*$A90)/(C90*$M$2)</f>
        <v>14105.874551594103</v>
      </c>
      <c r="H90" s="5">
        <f>(P$2*$A90)/(D90*$M$2)</f>
        <v>5121.373182796221</v>
      </c>
      <c r="I90" s="5">
        <f>(Q$2*$A90)/(E90*$M$2)</f>
        <v>17521.330006126911</v>
      </c>
      <c r="J90" s="7">
        <f t="shared" si="3"/>
        <v>3.6476260521388686</v>
      </c>
      <c r="K90" s="8">
        <f t="shared" si="4"/>
        <v>3.4212171971737533</v>
      </c>
      <c r="L90" s="8">
        <f t="shared" si="5"/>
        <v>4.530825760906005</v>
      </c>
    </row>
    <row r="91" spans="1:12" x14ac:dyDescent="0.3">
      <c r="A91" s="2">
        <v>47.302999999999997</v>
      </c>
      <c r="B91">
        <v>3.6899000000000001E-2</v>
      </c>
      <c r="C91">
        <v>1.4456999999999999E-2</v>
      </c>
      <c r="D91">
        <v>3.6360000000000003E-2</v>
      </c>
      <c r="E91">
        <v>1.405E-2</v>
      </c>
      <c r="F91" s="5">
        <f>(N$2*$A91)/(B91*$M$2)</f>
        <v>3867.138338734806</v>
      </c>
      <c r="G91" s="5">
        <f>(O$2*$A91)/(C91*$M$2)</f>
        <v>14105.874551594103</v>
      </c>
      <c r="H91" s="5">
        <f>(P$2*$A91)/(D91*$M$2)</f>
        <v>5121.373182796221</v>
      </c>
      <c r="I91" s="5">
        <f>(Q$2*$A91)/(E91*$M$2)</f>
        <v>17521.330006126911</v>
      </c>
      <c r="J91" s="7">
        <f t="shared" si="3"/>
        <v>3.6476260521388686</v>
      </c>
      <c r="K91" s="8">
        <f t="shared" si="4"/>
        <v>3.4212171971737533</v>
      </c>
      <c r="L91" s="8">
        <f t="shared" si="5"/>
        <v>4.530825760906005</v>
      </c>
    </row>
    <row r="92" spans="1:12" x14ac:dyDescent="0.3">
      <c r="A92" s="2">
        <v>47.302999999999997</v>
      </c>
      <c r="B92">
        <v>3.6899000000000001E-2</v>
      </c>
      <c r="C92">
        <v>1.4456999999999999E-2</v>
      </c>
      <c r="D92">
        <v>3.6360000000000003E-2</v>
      </c>
      <c r="E92">
        <v>1.405E-2</v>
      </c>
      <c r="F92" s="5">
        <f>(N$2*$A92)/(B92*$M$2)</f>
        <v>3867.138338734806</v>
      </c>
      <c r="G92" s="5">
        <f>(O$2*$A92)/(C92*$M$2)</f>
        <v>14105.874551594103</v>
      </c>
      <c r="H92" s="5">
        <f>(P$2*$A92)/(D92*$M$2)</f>
        <v>5121.373182796221</v>
      </c>
      <c r="I92" s="5">
        <f>(Q$2*$A92)/(E92*$M$2)</f>
        <v>17521.330006126911</v>
      </c>
      <c r="J92" s="7">
        <f t="shared" si="3"/>
        <v>3.6476260521388686</v>
      </c>
      <c r="K92" s="8">
        <f t="shared" si="4"/>
        <v>3.4212171971737533</v>
      </c>
      <c r="L92" s="8">
        <f t="shared" si="5"/>
        <v>4.530825760906005</v>
      </c>
    </row>
    <row r="93" spans="1:12" x14ac:dyDescent="0.3">
      <c r="A93" s="2">
        <v>47.304000000000002</v>
      </c>
      <c r="B93">
        <v>3.6899000000000001E-2</v>
      </c>
      <c r="C93">
        <v>1.4456999999999999E-2</v>
      </c>
      <c r="D93">
        <v>3.6360000000000003E-2</v>
      </c>
      <c r="E93">
        <v>1.405E-2</v>
      </c>
      <c r="F93" s="5">
        <f>(N$2*$A93)/(B93*$M$2)</f>
        <v>3867.2200912312387</v>
      </c>
      <c r="G93" s="5">
        <f>(O$2*$A93)/(C93*$M$2)</f>
        <v>14106.172754129917</v>
      </c>
      <c r="H93" s="5">
        <f>(P$2*$A93)/(D93*$M$2)</f>
        <v>5121.4814502038435</v>
      </c>
      <c r="I93" s="5">
        <f>(Q$2*$A93)/(E93*$M$2)</f>
        <v>17521.700412443766</v>
      </c>
      <c r="J93" s="7">
        <f t="shared" si="3"/>
        <v>3.6476260521388681</v>
      </c>
      <c r="K93" s="8">
        <f t="shared" si="4"/>
        <v>3.4212171971737542</v>
      </c>
      <c r="L93" s="8">
        <f t="shared" si="5"/>
        <v>4.530825760906005</v>
      </c>
    </row>
    <row r="94" spans="1:12" x14ac:dyDescent="0.3">
      <c r="A94" s="2">
        <v>47.307000000000002</v>
      </c>
      <c r="B94">
        <v>3.6900000000000002E-2</v>
      </c>
      <c r="C94">
        <v>1.4456999999999999E-2</v>
      </c>
      <c r="D94">
        <v>3.6360999999999997E-2</v>
      </c>
      <c r="E94">
        <v>1.4050999999999999E-2</v>
      </c>
      <c r="F94" s="5">
        <f>(N$2*$A94)/(B94*$M$2)</f>
        <v>3867.3605393614912</v>
      </c>
      <c r="G94" s="5">
        <f>(O$2*$A94)/(C94*$M$2)</f>
        <v>14107.06736173736</v>
      </c>
      <c r="H94" s="5">
        <f>(P$2*$A94)/(D94*$M$2)</f>
        <v>5121.6653925424316</v>
      </c>
      <c r="I94" s="5">
        <f>(Q$2*$A94)/(E94*$M$2)</f>
        <v>17521.564544949848</v>
      </c>
      <c r="J94" s="7">
        <f t="shared" si="3"/>
        <v>3.6477249064723778</v>
      </c>
      <c r="K94" s="8">
        <f t="shared" si="4"/>
        <v>3.4210677976860211</v>
      </c>
      <c r="L94" s="8">
        <f t="shared" si="5"/>
        <v>4.5306260863495007</v>
      </c>
    </row>
    <row r="95" spans="1:12" x14ac:dyDescent="0.3">
      <c r="A95" s="2">
        <v>47.307000000000002</v>
      </c>
      <c r="B95">
        <v>3.6900000000000002E-2</v>
      </c>
      <c r="C95">
        <v>1.4456999999999999E-2</v>
      </c>
      <c r="D95">
        <v>3.6360999999999997E-2</v>
      </c>
      <c r="E95">
        <v>1.4050999999999999E-2</v>
      </c>
      <c r="F95" s="5">
        <f>(N$2*$A95)/(B95*$M$2)</f>
        <v>3867.3605393614912</v>
      </c>
      <c r="G95" s="5">
        <f>(O$2*$A95)/(C95*$M$2)</f>
        <v>14107.06736173736</v>
      </c>
      <c r="H95" s="5">
        <f>(P$2*$A95)/(D95*$M$2)</f>
        <v>5121.6653925424316</v>
      </c>
      <c r="I95" s="5">
        <f>(Q$2*$A95)/(E95*$M$2)</f>
        <v>17521.564544949848</v>
      </c>
      <c r="J95" s="7">
        <f t="shared" si="3"/>
        <v>3.6477249064723778</v>
      </c>
      <c r="K95" s="8">
        <f t="shared" si="4"/>
        <v>3.4210677976860211</v>
      </c>
      <c r="L95" s="8">
        <f t="shared" si="5"/>
        <v>4.5306260863495007</v>
      </c>
    </row>
    <row r="96" spans="1:12" x14ac:dyDescent="0.3">
      <c r="A96" s="2">
        <v>47.332000000000001</v>
      </c>
      <c r="B96">
        <v>3.6900000000000002E-2</v>
      </c>
      <c r="C96">
        <v>1.4458E-2</v>
      </c>
      <c r="D96">
        <v>3.6360999999999997E-2</v>
      </c>
      <c r="E96">
        <v>1.4050999999999999E-2</v>
      </c>
      <c r="F96" s="5">
        <f>(N$2*$A96)/(B96*$M$2)</f>
        <v>3869.4042963844267</v>
      </c>
      <c r="G96" s="5">
        <f>(O$2*$A96)/(C96*$M$2)</f>
        <v>14113.546182054464</v>
      </c>
      <c r="H96" s="5">
        <f>(P$2*$A96)/(D96*$M$2)</f>
        <v>5124.3720032937699</v>
      </c>
      <c r="I96" s="5">
        <f>(Q$2*$A96)/(E96*$M$2)</f>
        <v>17530.824043832123</v>
      </c>
      <c r="J96" s="7">
        <f t="shared" si="3"/>
        <v>3.6474726084431572</v>
      </c>
      <c r="K96" s="8">
        <f t="shared" si="4"/>
        <v>3.4210677976860215</v>
      </c>
      <c r="L96" s="8">
        <f t="shared" si="5"/>
        <v>4.5306260863495016</v>
      </c>
    </row>
    <row r="97" spans="1:12" x14ac:dyDescent="0.3">
      <c r="A97" s="2">
        <v>48.725999999999999</v>
      </c>
      <c r="B97">
        <v>3.7095999999999997E-2</v>
      </c>
      <c r="C97">
        <v>1.4540000000000001E-2</v>
      </c>
      <c r="D97">
        <v>3.6554000000000003E-2</v>
      </c>
      <c r="E97">
        <v>1.4130999999999999E-2</v>
      </c>
      <c r="F97" s="5">
        <f>(N$2*$A97)/(B97*$M$2)</f>
        <v>3962.317730660593</v>
      </c>
      <c r="G97" s="5">
        <f>(O$2*$A97)/(C97*$M$2)</f>
        <v>14447.27260661234</v>
      </c>
      <c r="H97" s="5">
        <f>(P$2*$A97)/(D97*$M$2)</f>
        <v>5247.4398126542847</v>
      </c>
      <c r="I97" s="5">
        <f>(Q$2*$A97)/(E97*$M$2)</f>
        <v>17944.963246754309</v>
      </c>
      <c r="J97" s="7">
        <f t="shared" si="3"/>
        <v>3.6461671144690628</v>
      </c>
      <c r="K97" s="8">
        <f t="shared" si="4"/>
        <v>3.4197558976245412</v>
      </c>
      <c r="L97" s="8">
        <f t="shared" si="5"/>
        <v>4.5289056725298362</v>
      </c>
    </row>
    <row r="98" spans="1:12" x14ac:dyDescent="0.3">
      <c r="A98" s="2">
        <v>48.847999999999999</v>
      </c>
      <c r="B98">
        <v>3.7040999999999998E-2</v>
      </c>
      <c r="C98">
        <v>1.4526000000000001E-2</v>
      </c>
      <c r="D98">
        <v>3.6500999999999999E-2</v>
      </c>
      <c r="E98">
        <v>1.4116999999999999E-2</v>
      </c>
      <c r="F98" s="5">
        <f>(N$2*$A98)/(B98*$M$2)</f>
        <v>3978.1367120547379</v>
      </c>
      <c r="G98" s="5">
        <f>(O$2*$A98)/(C98*$M$2)</f>
        <v>14497.404627254229</v>
      </c>
      <c r="H98" s="5">
        <f>(P$2*$A98)/(D98*$M$2)</f>
        <v>5268.216774077101</v>
      </c>
      <c r="I98" s="5">
        <f>(Q$2*$A98)/(E98*$M$2)</f>
        <v>18007.734582956997</v>
      </c>
      <c r="J98" s="7">
        <f t="shared" si="3"/>
        <v>3.6442700883867336</v>
      </c>
      <c r="K98" s="8">
        <f t="shared" si="4"/>
        <v>3.4181840564280188</v>
      </c>
      <c r="L98" s="8">
        <f t="shared" si="5"/>
        <v>4.5266756490266182</v>
      </c>
    </row>
    <row r="99" spans="1:12" x14ac:dyDescent="0.3">
      <c r="A99" s="2">
        <v>48.923000000000002</v>
      </c>
      <c r="B99">
        <v>3.7051000000000001E-2</v>
      </c>
      <c r="C99">
        <v>1.4529E-2</v>
      </c>
      <c r="D99">
        <v>3.6510000000000001E-2</v>
      </c>
      <c r="E99">
        <v>1.4120000000000001E-2</v>
      </c>
      <c r="F99" s="5">
        <f>(N$2*$A99)/(B99*$M$2)</f>
        <v>3983.1693032214666</v>
      </c>
      <c r="G99" s="5">
        <f>(O$2*$A99)/(C99*$M$2)</f>
        <v>14516.665508294742</v>
      </c>
      <c r="H99" s="5">
        <f>(P$2*$A99)/(D99*$M$2)</f>
        <v>5275.0048121384962</v>
      </c>
      <c r="I99" s="5">
        <f>(Q$2*$A99)/(E99*$M$2)</f>
        <v>18031.551328894362</v>
      </c>
      <c r="J99" s="7">
        <f t="shared" si="3"/>
        <v>3.6445012509395727</v>
      </c>
      <c r="K99" s="8">
        <f t="shared" si="4"/>
        <v>3.4183004511012642</v>
      </c>
      <c r="L99" s="8">
        <f t="shared" si="5"/>
        <v>4.5269357027608619</v>
      </c>
    </row>
    <row r="100" spans="1:12" x14ac:dyDescent="0.3">
      <c r="A100" s="2">
        <v>48.933</v>
      </c>
      <c r="B100">
        <v>3.7052000000000002E-2</v>
      </c>
      <c r="C100">
        <v>1.453E-2</v>
      </c>
      <c r="D100">
        <v>3.6511000000000002E-2</v>
      </c>
      <c r="E100">
        <v>1.4121E-2</v>
      </c>
      <c r="F100" s="5">
        <f>(N$2*$A100)/(B100*$M$2)</f>
        <v>3983.8759502136745</v>
      </c>
      <c r="G100" s="5">
        <f>(O$2*$A100)/(C100*$M$2)</f>
        <v>14518.633469416167</v>
      </c>
      <c r="H100" s="5">
        <f>(P$2*$A100)/(D100*$M$2)</f>
        <v>5275.938531417607</v>
      </c>
      <c r="I100" s="5">
        <f>(Q$2*$A100)/(E100*$M$2)</f>
        <v>18033.959836520527</v>
      </c>
      <c r="J100" s="7">
        <f t="shared" si="3"/>
        <v>3.6443487826566141</v>
      </c>
      <c r="K100" s="8">
        <f t="shared" si="4"/>
        <v>3.4181519987638924</v>
      </c>
      <c r="L100" s="8">
        <f t="shared" si="5"/>
        <v>4.5267372935026451</v>
      </c>
    </row>
    <row r="101" spans="1:12" x14ac:dyDescent="0.3">
      <c r="A101" s="2">
        <v>49.612000000000002</v>
      </c>
      <c r="B101">
        <v>3.6903999999999999E-2</v>
      </c>
      <c r="C101">
        <v>1.4496999999999999E-2</v>
      </c>
      <c r="D101">
        <v>3.6366999999999997E-2</v>
      </c>
      <c r="E101">
        <v>1.409E-2</v>
      </c>
      <c r="F101" s="5">
        <f>(N$2*$A101)/(B101*$M$2)</f>
        <v>4055.3553319621647</v>
      </c>
      <c r="G101" s="5">
        <f>(O$2*$A101)/(C101*$M$2)</f>
        <v>14753.603556427694</v>
      </c>
      <c r="H101" s="5">
        <f>(P$2*$A101)/(D101*$M$2)</f>
        <v>5370.3287353272772</v>
      </c>
      <c r="I101" s="5">
        <f>(Q$2*$A101)/(E101*$M$2)</f>
        <v>18324.428998862604</v>
      </c>
      <c r="J101" s="7">
        <f t="shared" si="3"/>
        <v>3.6380544610105057</v>
      </c>
      <c r="K101" s="8">
        <f t="shared" si="4"/>
        <v>3.4121615085348926</v>
      </c>
      <c r="L101" s="8">
        <f t="shared" si="5"/>
        <v>4.5185754388620776</v>
      </c>
    </row>
    <row r="102" spans="1:12" x14ac:dyDescent="0.3">
      <c r="A102" s="2">
        <v>50.185000000000002</v>
      </c>
      <c r="B102">
        <v>3.6899000000000001E-2</v>
      </c>
      <c r="C102">
        <v>1.4504E-2</v>
      </c>
      <c r="D102">
        <v>3.6361999999999998E-2</v>
      </c>
      <c r="E102">
        <v>1.4095999999999999E-2</v>
      </c>
      <c r="F102" s="5">
        <f>(N$2*$A102)/(B102*$M$2)</f>
        <v>4102.7490334525564</v>
      </c>
      <c r="G102" s="5">
        <f>(O$2*$A102)/(C102*$M$2)</f>
        <v>14916.799442502772</v>
      </c>
      <c r="H102" s="5">
        <f>(P$2*$A102)/(D102*$M$2)</f>
        <v>5433.1010011259341</v>
      </c>
      <c r="I102" s="5">
        <f>(Q$2*$A102)/(E102*$M$2)</f>
        <v>18528.179356466495</v>
      </c>
      <c r="J102" s="7">
        <f t="shared" si="3"/>
        <v>3.6358059732330124</v>
      </c>
      <c r="K102" s="8">
        <f t="shared" si="4"/>
        <v>3.4102401837600276</v>
      </c>
      <c r="L102" s="8">
        <f t="shared" si="5"/>
        <v>4.516040149030176</v>
      </c>
    </row>
    <row r="103" spans="1:12" x14ac:dyDescent="0.3">
      <c r="A103" s="2">
        <v>50.292999999999999</v>
      </c>
      <c r="B103">
        <v>3.6880000000000003E-2</v>
      </c>
      <c r="C103">
        <v>1.4501E-2</v>
      </c>
      <c r="D103">
        <v>3.6344000000000001E-2</v>
      </c>
      <c r="E103">
        <v>1.4093E-2</v>
      </c>
      <c r="F103" s="5">
        <f>(N$2*$A103)/(B103*$M$2)</f>
        <v>4113.6965239934389</v>
      </c>
      <c r="G103" s="5">
        <f>(O$2*$A103)/(C103*$M$2)</f>
        <v>14951.993616479422</v>
      </c>
      <c r="H103" s="5">
        <f>(P$2*$A103)/(D103*$M$2)</f>
        <v>5447.4898668442729</v>
      </c>
      <c r="I103" s="5">
        <f>(Q$2*$A103)/(E103*$M$2)</f>
        <v>18572.005304331607</v>
      </c>
      <c r="J103" s="7">
        <f t="shared" si="3"/>
        <v>3.6346856238108023</v>
      </c>
      <c r="K103" s="8">
        <f t="shared" si="4"/>
        <v>3.4092776229596473</v>
      </c>
      <c r="L103" s="8">
        <f t="shared" si="5"/>
        <v>4.5146755955401705</v>
      </c>
    </row>
    <row r="104" spans="1:12" x14ac:dyDescent="0.3">
      <c r="A104" s="2">
        <v>50.343000000000004</v>
      </c>
      <c r="B104">
        <v>3.6875999999999999E-2</v>
      </c>
      <c r="C104">
        <v>1.4501E-2</v>
      </c>
      <c r="D104">
        <v>3.6339999999999997E-2</v>
      </c>
      <c r="E104">
        <v>1.4093E-2</v>
      </c>
      <c r="F104" s="5">
        <f>(N$2*$A104)/(B104*$M$2)</f>
        <v>4118.2329177017773</v>
      </c>
      <c r="G104" s="5">
        <f>(O$2*$A104)/(C104*$M$2)</f>
        <v>14966.858501867528</v>
      </c>
      <c r="H104" s="5">
        <f>(P$2*$A104)/(D104*$M$2)</f>
        <v>5453.505830149893</v>
      </c>
      <c r="I104" s="5">
        <f>(Q$2*$A104)/(E104*$M$2)</f>
        <v>18590.469111724618</v>
      </c>
      <c r="J104" s="7">
        <f t="shared" si="3"/>
        <v>3.6342914062811045</v>
      </c>
      <c r="K104" s="8">
        <f t="shared" si="4"/>
        <v>3.4089023998006156</v>
      </c>
      <c r="L104" s="8">
        <f t="shared" si="5"/>
        <v>4.5141859344126711</v>
      </c>
    </row>
    <row r="105" spans="1:12" x14ac:dyDescent="0.3">
      <c r="A105" s="2">
        <v>50.482999999999997</v>
      </c>
      <c r="B105">
        <v>3.6836000000000001E-2</v>
      </c>
      <c r="C105">
        <v>1.4491E-2</v>
      </c>
      <c r="D105">
        <v>3.6301E-2</v>
      </c>
      <c r="E105">
        <v>1.4083999999999999E-2</v>
      </c>
      <c r="F105" s="5">
        <f>(N$2*$A105)/(B105*$M$2)</f>
        <v>4134.1698073729567</v>
      </c>
      <c r="G105" s="5">
        <f>(O$2*$A105)/(C105*$M$2)</f>
        <v>15018.837285488729</v>
      </c>
      <c r="H105" s="5">
        <f>(P$2*$A105)/(D105*$M$2)</f>
        <v>5474.5468796840796</v>
      </c>
      <c r="I105" s="5">
        <f>(Q$2*$A105)/(E105*$M$2)</f>
        <v>18654.080546491488</v>
      </c>
      <c r="J105" s="7">
        <f t="shared" si="3"/>
        <v>3.6328544750880458</v>
      </c>
      <c r="K105" s="8">
        <f t="shared" si="4"/>
        <v>3.4074200032364983</v>
      </c>
      <c r="L105" s="8">
        <f t="shared" si="5"/>
        <v>4.512170862750593</v>
      </c>
    </row>
    <row r="106" spans="1:12" x14ac:dyDescent="0.3">
      <c r="A106" s="2">
        <v>50.811</v>
      </c>
      <c r="B106">
        <v>3.7033999999999997E-2</v>
      </c>
      <c r="C106">
        <v>1.4553999999999999E-2</v>
      </c>
      <c r="D106">
        <v>3.6495E-2</v>
      </c>
      <c r="E106">
        <v>1.4145E-2</v>
      </c>
      <c r="F106" s="5">
        <f>(N$2*$A106)/(B106*$M$2)</f>
        <v>4138.7837939296387</v>
      </c>
      <c r="G106" s="5">
        <f>(O$2*$A106)/(C106*$M$2)</f>
        <v>15050.98368254651</v>
      </c>
      <c r="H106" s="5">
        <f>(P$2*$A106)/(D106*$M$2)</f>
        <v>5480.8256485578204</v>
      </c>
      <c r="I106" s="5">
        <f>(Q$2*$A106)/(E106*$M$2)</f>
        <v>18694.312540641524</v>
      </c>
      <c r="J106" s="7">
        <f t="shared" si="3"/>
        <v>3.6365716190881519</v>
      </c>
      <c r="K106" s="8">
        <f t="shared" si="4"/>
        <v>3.4108570020943088</v>
      </c>
      <c r="L106" s="8">
        <f t="shared" si="5"/>
        <v>4.5168613465773459</v>
      </c>
    </row>
    <row r="107" spans="1:12" x14ac:dyDescent="0.3">
      <c r="A107" s="2">
        <v>51.247999999999998</v>
      </c>
      <c r="B107">
        <v>3.7360999999999998E-2</v>
      </c>
      <c r="C107">
        <v>1.4654E-2</v>
      </c>
      <c r="D107">
        <v>3.6815000000000001E-2</v>
      </c>
      <c r="E107">
        <v>1.4241999999999999E-2</v>
      </c>
      <c r="F107" s="5">
        <f>(N$2*$A107)/(B107*$M$2)</f>
        <v>4137.8433882730196</v>
      </c>
      <c r="G107" s="5">
        <f>(O$2*$A107)/(C107*$M$2)</f>
        <v>15076.837270377693</v>
      </c>
      <c r="H107" s="5">
        <f>(P$2*$A107)/(D107*$M$2)</f>
        <v>5479.913826685095</v>
      </c>
      <c r="I107" s="5">
        <f>(Q$2*$A107)/(E107*$M$2)</f>
        <v>18726.673930059547</v>
      </c>
      <c r="J107" s="7">
        <f t="shared" si="3"/>
        <v>3.6436461836875367</v>
      </c>
      <c r="K107" s="8">
        <f t="shared" si="4"/>
        <v>3.4173300023200679</v>
      </c>
      <c r="L107" s="8">
        <f t="shared" si="5"/>
        <v>4.5257087262249813</v>
      </c>
    </row>
    <row r="108" spans="1:12" x14ac:dyDescent="0.3">
      <c r="A108" s="2">
        <v>51.32</v>
      </c>
      <c r="B108">
        <v>3.7414999999999997E-2</v>
      </c>
      <c r="C108">
        <v>1.4671E-2</v>
      </c>
      <c r="D108">
        <v>3.6868999999999999E-2</v>
      </c>
      <c r="E108">
        <v>1.4258E-2</v>
      </c>
      <c r="F108" s="5">
        <f>(N$2*$A108)/(B108*$M$2)</f>
        <v>4137.6763590968803</v>
      </c>
      <c r="G108" s="5">
        <f>(O$2*$A108)/(C108*$M$2)</f>
        <v>15080.524406819803</v>
      </c>
      <c r="H108" s="5">
        <f>(P$2*$A108)/(D108*$M$2)</f>
        <v>5479.5753326962085</v>
      </c>
      <c r="I108" s="5">
        <f>(Q$2*$A108)/(E108*$M$2)</f>
        <v>18731.939482538728</v>
      </c>
      <c r="J108" s="7">
        <f t="shared" si="3"/>
        <v>3.6446843827368336</v>
      </c>
      <c r="K108" s="8">
        <f t="shared" si="4"/>
        <v>3.4185020453622879</v>
      </c>
      <c r="L108" s="8">
        <f t="shared" si="5"/>
        <v>4.5271640062799161</v>
      </c>
    </row>
    <row r="109" spans="1:12" x14ac:dyDescent="0.3">
      <c r="A109" s="2">
        <v>52.271999999999998</v>
      </c>
      <c r="B109">
        <v>3.7053000000000003E-2</v>
      </c>
      <c r="C109">
        <v>1.4581999999999999E-2</v>
      </c>
      <c r="D109">
        <v>3.6514999999999999E-2</v>
      </c>
      <c r="E109">
        <v>1.4173E-2</v>
      </c>
      <c r="F109" s="5">
        <f>(N$2*$A109)/(B109*$M$2)</f>
        <v>4255.6054906189083</v>
      </c>
      <c r="G109" s="5">
        <f>(O$2*$A109)/(C109*$M$2)</f>
        <v>15454.022367152596</v>
      </c>
      <c r="H109" s="5">
        <f>(P$2*$A109)/(D109*$M$2)</f>
        <v>5635.3309308825546</v>
      </c>
      <c r="I109" s="5">
        <f>(Q$2*$A109)/(E109*$M$2)</f>
        <v>19193.847447523072</v>
      </c>
      <c r="J109" s="7">
        <f t="shared" si="3"/>
        <v>3.6314508948772555</v>
      </c>
      <c r="K109" s="8">
        <f t="shared" si="4"/>
        <v>3.4059840820239291</v>
      </c>
      <c r="L109" s="8">
        <f t="shared" si="5"/>
        <v>4.5102506540688854</v>
      </c>
    </row>
    <row r="110" spans="1:12" x14ac:dyDescent="0.3">
      <c r="A110" s="2">
        <v>52.326999999999998</v>
      </c>
      <c r="B110">
        <v>3.7081999999999997E-2</v>
      </c>
      <c r="C110">
        <v>1.4592000000000001E-2</v>
      </c>
      <c r="D110">
        <v>3.6542999999999999E-2</v>
      </c>
      <c r="E110">
        <v>1.4182E-2</v>
      </c>
      <c r="F110" s="5">
        <f>(N$2*$A110)/(B110*$M$2)</f>
        <v>4256.7515894240978</v>
      </c>
      <c r="G110" s="5">
        <f>(O$2*$A110)/(C110*$M$2)</f>
        <v>15459.681019129208</v>
      </c>
      <c r="H110" s="5">
        <f>(P$2*$A110)/(D110*$M$2)</f>
        <v>5636.9379115820047</v>
      </c>
      <c r="I110" s="5">
        <f>(Q$2*$A110)/(E110*$M$2)</f>
        <v>19201.849623120372</v>
      </c>
      <c r="J110" s="7">
        <f t="shared" si="3"/>
        <v>3.6318024893768279</v>
      </c>
      <c r="K110" s="8">
        <f t="shared" si="4"/>
        <v>3.406432698800363</v>
      </c>
      <c r="L110" s="8">
        <f t="shared" si="5"/>
        <v>4.5109161809740979</v>
      </c>
    </row>
    <row r="111" spans="1:12" x14ac:dyDescent="0.3">
      <c r="A111" s="2">
        <v>52.37</v>
      </c>
      <c r="B111">
        <v>3.7069999999999999E-2</v>
      </c>
      <c r="C111">
        <v>1.4589E-2</v>
      </c>
      <c r="D111">
        <v>3.6532000000000002E-2</v>
      </c>
      <c r="E111">
        <v>1.418E-2</v>
      </c>
      <c r="F111" s="5">
        <f>(N$2*$A111)/(B111*$M$2)</f>
        <v>4261.628691927599</v>
      </c>
      <c r="G111" s="5">
        <f>(O$2*$A111)/(C111*$M$2)</f>
        <v>15475.566751369148</v>
      </c>
      <c r="H111" s="5">
        <f>(P$2*$A111)/(D111*$M$2)</f>
        <v>5643.2688062359512</v>
      </c>
      <c r="I111" s="5">
        <f>(Q$2*$A111)/(E111*$M$2)</f>
        <v>19220.339374571246</v>
      </c>
      <c r="J111" s="7">
        <f t="shared" si="3"/>
        <v>3.6313737939401087</v>
      </c>
      <c r="K111" s="8">
        <f t="shared" si="4"/>
        <v>3.4058876219634082</v>
      </c>
      <c r="L111" s="8">
        <f t="shared" si="5"/>
        <v>4.5100924468099537</v>
      </c>
    </row>
    <row r="112" spans="1:12" x14ac:dyDescent="0.3">
      <c r="A112" s="2">
        <v>52.4</v>
      </c>
      <c r="B112">
        <v>3.7078E-2</v>
      </c>
      <c r="C112">
        <v>1.4592000000000001E-2</v>
      </c>
      <c r="D112">
        <v>3.6540000000000003E-2</v>
      </c>
      <c r="E112">
        <v>1.4182E-2</v>
      </c>
      <c r="F112" s="5">
        <f>(N$2*$A112)/(B112*$M$2)</f>
        <v>4263.1499317852013</v>
      </c>
      <c r="G112" s="5">
        <f>(O$2*$A112)/(C112*$M$2)</f>
        <v>15481.248407177374</v>
      </c>
      <c r="H112" s="5">
        <f>(P$2*$A112)/(D112*$M$2)</f>
        <v>5645.265301522908</v>
      </c>
      <c r="I112" s="5">
        <f>(Q$2*$A112)/(E112*$M$2)</f>
        <v>19228.637610631369</v>
      </c>
      <c r="J112" s="7">
        <f t="shared" si="3"/>
        <v>3.6314107303034908</v>
      </c>
      <c r="K112" s="8">
        <f t="shared" si="4"/>
        <v>3.406153047482837</v>
      </c>
      <c r="L112" s="8">
        <f t="shared" si="5"/>
        <v>4.5104295927446643</v>
      </c>
    </row>
    <row r="113" spans="1:12" x14ac:dyDescent="0.3">
      <c r="A113" s="2">
        <v>52.542999999999999</v>
      </c>
      <c r="B113">
        <v>3.7064E-2</v>
      </c>
      <c r="C113">
        <v>1.4588E-2</v>
      </c>
      <c r="D113">
        <v>3.6526000000000003E-2</v>
      </c>
      <c r="E113">
        <v>1.4179000000000001E-2</v>
      </c>
      <c r="F113" s="5">
        <f>(N$2*$A113)/(B113*$M$2)</f>
        <v>4276.3987933857316</v>
      </c>
      <c r="G113" s="5">
        <f>(O$2*$A113)/(C113*$M$2)</f>
        <v>15527.753363596734</v>
      </c>
      <c r="H113" s="5">
        <f>(P$2*$A113)/(D113*$M$2)</f>
        <v>5662.8409444843483</v>
      </c>
      <c r="I113" s="5">
        <f>(Q$2*$A113)/(E113*$M$2)</f>
        <v>19285.192217044962</v>
      </c>
      <c r="J113" s="7">
        <f t="shared" si="3"/>
        <v>3.6310349230322889</v>
      </c>
      <c r="K113" s="8">
        <f t="shared" si="4"/>
        <v>3.4055684074667312</v>
      </c>
      <c r="L113" s="8">
        <f t="shared" si="5"/>
        <v>4.5096804925848355</v>
      </c>
    </row>
    <row r="114" spans="1:12" x14ac:dyDescent="0.3">
      <c r="A114" s="2">
        <v>52.664000000000001</v>
      </c>
      <c r="B114">
        <v>3.7065000000000001E-2</v>
      </c>
      <c r="C114">
        <v>1.4590000000000001E-2</v>
      </c>
      <c r="D114">
        <v>3.6526999999999997E-2</v>
      </c>
      <c r="E114">
        <v>1.4180999999999999E-2</v>
      </c>
      <c r="F114" s="5">
        <f>(N$2*$A114)/(B114*$M$2)</f>
        <v>4286.1311670664263</v>
      </c>
      <c r="G114" s="5">
        <f>(O$2*$A114)/(C114*$M$2)</f>
        <v>15561.378400921209</v>
      </c>
      <c r="H114" s="5">
        <f>(P$2*$A114)/(D114*$M$2)</f>
        <v>5675.7263748492269</v>
      </c>
      <c r="I114" s="5">
        <f>(Q$2*$A114)/(E114*$M$2)</f>
        <v>19326.877491322721</v>
      </c>
      <c r="J114" s="7">
        <f t="shared" si="3"/>
        <v>3.6306351332621358</v>
      </c>
      <c r="K114" s="8">
        <f t="shared" si="4"/>
        <v>3.4051813309686074</v>
      </c>
      <c r="L114" s="8">
        <f t="shared" si="5"/>
        <v>4.5091661309447728</v>
      </c>
    </row>
    <row r="115" spans="1:12" x14ac:dyDescent="0.3">
      <c r="A115" s="2">
        <v>52.686999999999998</v>
      </c>
      <c r="B115">
        <v>3.7074999999999997E-2</v>
      </c>
      <c r="C115">
        <v>1.4593E-2</v>
      </c>
      <c r="D115">
        <v>3.6537E-2</v>
      </c>
      <c r="E115">
        <v>1.4182999999999999E-2</v>
      </c>
      <c r="F115" s="5">
        <f>(N$2*$A115)/(B115*$M$2)</f>
        <v>4286.846477969837</v>
      </c>
      <c r="G115" s="5">
        <f>(O$2*$A115)/(C115*$M$2)</f>
        <v>15564.974062415291</v>
      </c>
      <c r="H115" s="5">
        <f>(P$2*$A115)/(D115*$M$2)</f>
        <v>5676.6510431005472</v>
      </c>
      <c r="I115" s="5">
        <f>(Q$2*$A115)/(E115*$M$2)</f>
        <v>19332.59158892609</v>
      </c>
      <c r="J115" s="7">
        <f t="shared" si="3"/>
        <v>3.6308680850606398</v>
      </c>
      <c r="K115" s="8">
        <f t="shared" si="4"/>
        <v>3.4056332584373132</v>
      </c>
      <c r="L115" s="8">
        <f t="shared" si="5"/>
        <v>4.5097466606925494</v>
      </c>
    </row>
    <row r="116" spans="1:12" x14ac:dyDescent="0.3">
      <c r="A116" s="2">
        <v>53.529000000000003</v>
      </c>
      <c r="B116">
        <v>3.7418E-2</v>
      </c>
      <c r="C116">
        <v>1.4699E-2</v>
      </c>
      <c r="D116">
        <v>3.6873000000000003E-2</v>
      </c>
      <c r="E116">
        <v>1.4286E-2</v>
      </c>
      <c r="F116" s="5">
        <f>(N$2*$A116)/(B116*$M$2)</f>
        <v>4315.4310238062026</v>
      </c>
      <c r="G116" s="5">
        <f>(O$2*$A116)/(C116*$M$2)</f>
        <v>15699.681919284563</v>
      </c>
      <c r="H116" s="5">
        <f>(P$2*$A116)/(D116*$M$2)</f>
        <v>5714.8162297137551</v>
      </c>
      <c r="I116" s="5">
        <f>(Q$2*$A116)/(E116*$M$2)</f>
        <v>19499.936320506004</v>
      </c>
      <c r="J116" s="7">
        <f t="shared" si="3"/>
        <v>3.6380333349500442</v>
      </c>
      <c r="K116" s="8">
        <f t="shared" si="4"/>
        <v>3.4121720693515143</v>
      </c>
      <c r="L116" s="8">
        <f t="shared" si="5"/>
        <v>4.5186532267423649</v>
      </c>
    </row>
    <row r="117" spans="1:12" x14ac:dyDescent="0.3">
      <c r="A117" s="2">
        <v>53.557000000000002</v>
      </c>
      <c r="B117">
        <v>3.7421000000000003E-2</v>
      </c>
      <c r="C117">
        <v>1.47E-2</v>
      </c>
      <c r="D117">
        <v>3.6875999999999999E-2</v>
      </c>
      <c r="E117">
        <v>1.4286999999999999E-2</v>
      </c>
      <c r="F117" s="5">
        <f>(N$2*$A117)/(B117*$M$2)</f>
        <v>4317.3421992737876</v>
      </c>
      <c r="G117" s="5">
        <f>(O$2*$A117)/(C117*$M$2)</f>
        <v>15706.825559540888</v>
      </c>
      <c r="H117" s="5">
        <f>(P$2*$A117)/(D117*$M$2)</f>
        <v>5717.3403764125251</v>
      </c>
      <c r="I117" s="5">
        <f>(Q$2*$A117)/(E117*$M$2)</f>
        <v>19508.77077901582</v>
      </c>
      <c r="J117" s="7">
        <f t="shared" si="3"/>
        <v>3.6380775103217218</v>
      </c>
      <c r="K117" s="8">
        <f t="shared" si="4"/>
        <v>3.4122108348667255</v>
      </c>
      <c r="L117" s="8">
        <f t="shared" si="5"/>
        <v>4.5186992085772948</v>
      </c>
    </row>
    <row r="118" spans="1:12" x14ac:dyDescent="0.3">
      <c r="A118" s="2">
        <v>53.863999999999997</v>
      </c>
      <c r="B118">
        <v>3.7448000000000002E-2</v>
      </c>
      <c r="C118">
        <v>1.4711E-2</v>
      </c>
      <c r="D118">
        <v>3.6903999999999999E-2</v>
      </c>
      <c r="E118">
        <v>1.4297000000000001E-2</v>
      </c>
      <c r="F118" s="5">
        <f>(N$2*$A118)/(B118*$M$2)</f>
        <v>4338.9594676976458</v>
      </c>
      <c r="G118" s="5">
        <f>(O$2*$A118)/(C118*$M$2)</f>
        <v>15785.048449578569</v>
      </c>
      <c r="H118" s="5">
        <f>(P$2*$A118)/(D118*$M$2)</f>
        <v>5745.750618456791</v>
      </c>
      <c r="I118" s="5">
        <f>(Q$2*$A118)/(E118*$M$2)</f>
        <v>19606.875582751596</v>
      </c>
      <c r="J118" s="7">
        <f t="shared" si="3"/>
        <v>3.6379801579373794</v>
      </c>
      <c r="K118" s="8">
        <f t="shared" si="4"/>
        <v>3.4124132571590207</v>
      </c>
      <c r="L118" s="8">
        <f t="shared" si="5"/>
        <v>4.5187966674312969</v>
      </c>
    </row>
    <row r="119" spans="1:12" x14ac:dyDescent="0.3">
      <c r="A119" s="2">
        <v>54.033999999999999</v>
      </c>
      <c r="B119">
        <v>3.7437999999999999E-2</v>
      </c>
      <c r="C119">
        <v>1.4709E-2</v>
      </c>
      <c r="D119">
        <v>3.6893000000000002E-2</v>
      </c>
      <c r="E119">
        <v>1.4296E-2</v>
      </c>
      <c r="F119" s="5">
        <f>(N$2*$A119)/(B119*$M$2)</f>
        <v>4353.8162738003257</v>
      </c>
      <c r="G119" s="5">
        <f>(O$2*$A119)/(C119*$M$2)</f>
        <v>15837.02067659217</v>
      </c>
      <c r="H119" s="5">
        <f>(P$2*$A119)/(D119*$M$2)</f>
        <v>5765.6033210508613</v>
      </c>
      <c r="I119" s="5">
        <f>(Q$2*$A119)/(E119*$M$2)</f>
        <v>19670.132603134054</v>
      </c>
      <c r="J119" s="7">
        <f t="shared" si="3"/>
        <v>3.6375032111238981</v>
      </c>
      <c r="K119" s="8">
        <f t="shared" si="4"/>
        <v>3.4116347427711866</v>
      </c>
      <c r="L119" s="8">
        <f t="shared" si="5"/>
        <v>4.5179059854917902</v>
      </c>
    </row>
    <row r="120" spans="1:12" x14ac:dyDescent="0.3">
      <c r="A120" s="2">
        <v>54.171999999999997</v>
      </c>
      <c r="B120">
        <v>3.7412000000000001E-2</v>
      </c>
      <c r="C120">
        <v>1.4702E-2</v>
      </c>
      <c r="D120">
        <v>3.6867999999999998E-2</v>
      </c>
      <c r="E120">
        <v>1.4289E-2</v>
      </c>
      <c r="F120" s="5">
        <f>(N$2*$A120)/(B120*$M$2)</f>
        <v>4367.9691660169037</v>
      </c>
      <c r="G120" s="5">
        <f>(O$2*$A120)/(C120*$M$2)</f>
        <v>15885.027266515428</v>
      </c>
      <c r="H120" s="5">
        <f>(P$2*$A120)/(D120*$M$2)</f>
        <v>5784.2479800751817</v>
      </c>
      <c r="I120" s="5">
        <f>(Q$2*$A120)/(E120*$M$2)</f>
        <v>19730.029848285532</v>
      </c>
      <c r="J120" s="7">
        <f t="shared" si="3"/>
        <v>3.6367077382555757</v>
      </c>
      <c r="K120" s="8">
        <f t="shared" si="4"/>
        <v>3.4109930826356254</v>
      </c>
      <c r="L120" s="8">
        <f t="shared" si="5"/>
        <v>4.5169801109830408</v>
      </c>
    </row>
    <row r="121" spans="1:12" x14ac:dyDescent="0.3">
      <c r="A121" s="2">
        <v>54.225000000000001</v>
      </c>
      <c r="B121">
        <v>3.7401999999999998E-2</v>
      </c>
      <c r="C121">
        <v>1.47E-2</v>
      </c>
      <c r="D121">
        <v>3.6858000000000002E-2</v>
      </c>
      <c r="E121">
        <v>1.4286999999999999E-2</v>
      </c>
      <c r="F121" s="5">
        <f>(N$2*$A121)/(B121*$M$2)</f>
        <v>4373.4116213949692</v>
      </c>
      <c r="G121" s="5">
        <f>(O$2*$A121)/(C121*$M$2)</f>
        <v>15902.731967177113</v>
      </c>
      <c r="H121" s="5">
        <f>(P$2*$A121)/(D121*$M$2)</f>
        <v>5791.4779555400228</v>
      </c>
      <c r="I121" s="5">
        <f>(Q$2*$A121)/(E121*$M$2)</f>
        <v>19752.097680828516</v>
      </c>
      <c r="J121" s="7">
        <f t="shared" si="3"/>
        <v>3.6362303263155193</v>
      </c>
      <c r="K121" s="8">
        <f t="shared" si="4"/>
        <v>3.4105452584748281</v>
      </c>
      <c r="L121" s="8">
        <f t="shared" si="5"/>
        <v>4.5164049009702572</v>
      </c>
    </row>
    <row r="122" spans="1:12" x14ac:dyDescent="0.3">
      <c r="A122" s="2">
        <v>54.69</v>
      </c>
      <c r="B122">
        <v>3.7490999999999997E-2</v>
      </c>
      <c r="C122">
        <v>1.4729000000000001E-2</v>
      </c>
      <c r="D122">
        <v>3.6946E-2</v>
      </c>
      <c r="E122">
        <v>1.4315E-2</v>
      </c>
      <c r="F122" s="5">
        <f>(N$2*$A122)/(B122*$M$2)</f>
        <v>4400.4442041699776</v>
      </c>
      <c r="G122" s="5">
        <f>(O$2*$A122)/(C122*$M$2)</f>
        <v>16007.524472504827</v>
      </c>
      <c r="H122" s="5">
        <f>(P$2*$A122)/(D122*$M$2)</f>
        <v>5827.2293307243326</v>
      </c>
      <c r="I122" s="5">
        <f>(Q$2*$A122)/(E122*$M$2)</f>
        <v>19882.513212405232</v>
      </c>
      <c r="J122" s="7">
        <f t="shared" si="3"/>
        <v>3.6377064972976303</v>
      </c>
      <c r="K122" s="8">
        <f t="shared" si="4"/>
        <v>3.4120011559479519</v>
      </c>
      <c r="L122" s="8">
        <f t="shared" si="5"/>
        <v>4.5182968559319612</v>
      </c>
    </row>
    <row r="123" spans="1:12" x14ac:dyDescent="0.3">
      <c r="A123" s="2">
        <v>55.023000000000003</v>
      </c>
      <c r="B123">
        <v>3.7600000000000001E-2</v>
      </c>
      <c r="C123">
        <v>1.4763E-2</v>
      </c>
      <c r="D123">
        <v>3.7052000000000002E-2</v>
      </c>
      <c r="E123">
        <v>1.4349000000000001E-2</v>
      </c>
      <c r="F123" s="5">
        <f>(N$2*$A123)/(B123*$M$2)</f>
        <v>4414.4036325895177</v>
      </c>
      <c r="G123" s="5">
        <f>(O$2*$A123)/(C123*$M$2)</f>
        <v>16067.901438568693</v>
      </c>
      <c r="H123" s="5">
        <f>(P$2*$A123)/(D123*$M$2)</f>
        <v>5845.9382390249648</v>
      </c>
      <c r="I123" s="5">
        <f>(Q$2*$A123)/(E123*$M$2)</f>
        <v>19956.176608120993</v>
      </c>
      <c r="J123" s="7">
        <f t="shared" si="3"/>
        <v>3.6398804404623868</v>
      </c>
      <c r="K123" s="8">
        <f t="shared" si="4"/>
        <v>3.4136824222504023</v>
      </c>
      <c r="L123" s="8">
        <f t="shared" si="5"/>
        <v>4.5206959465132943</v>
      </c>
    </row>
    <row r="124" spans="1:12" x14ac:dyDescent="0.3">
      <c r="A124" s="2">
        <v>55.765000000000001</v>
      </c>
      <c r="B124">
        <v>3.7094000000000002E-2</v>
      </c>
      <c r="C124">
        <v>1.4621E-2</v>
      </c>
      <c r="D124">
        <v>3.6555999999999998E-2</v>
      </c>
      <c r="E124">
        <v>1.4211E-2</v>
      </c>
      <c r="F124" s="5">
        <f>(N$2*$A124)/(B124*$M$2)</f>
        <v>4534.9620673647833</v>
      </c>
      <c r="G124" s="5">
        <f>(O$2*$A124)/(C124*$M$2)</f>
        <v>16442.738223808305</v>
      </c>
      <c r="H124" s="5">
        <f>(P$2*$A124)/(D124*$M$2)</f>
        <v>6005.1609315763735</v>
      </c>
      <c r="I124" s="5">
        <f>(Q$2*$A124)/(E124*$M$2)</f>
        <v>20421.694535483701</v>
      </c>
      <c r="J124" s="7">
        <f t="shared" si="3"/>
        <v>3.6257719424239858</v>
      </c>
      <c r="K124" s="8">
        <f t="shared" si="4"/>
        <v>3.4006906339682295</v>
      </c>
      <c r="L124" s="8">
        <f t="shared" si="5"/>
        <v>4.5031676631753008</v>
      </c>
    </row>
    <row r="125" spans="1:12" x14ac:dyDescent="0.3">
      <c r="A125" s="2">
        <v>56.09</v>
      </c>
      <c r="B125">
        <v>3.6874999999999998E-2</v>
      </c>
      <c r="C125">
        <v>1.4559000000000001E-2</v>
      </c>
      <c r="D125">
        <v>3.6343E-2</v>
      </c>
      <c r="E125">
        <v>1.4152E-2</v>
      </c>
      <c r="F125" s="5">
        <f>(N$2*$A125)/(B125*$M$2)</f>
        <v>4588.481984291031</v>
      </c>
      <c r="G125" s="5">
        <f>(O$2*$A125)/(C125*$M$2)</f>
        <v>16608.997021765586</v>
      </c>
      <c r="H125" s="5">
        <f>(P$2*$A125)/(D125*$M$2)</f>
        <v>6075.559501708397</v>
      </c>
      <c r="I125" s="5">
        <f>(Q$2*$A125)/(E125*$M$2)</f>
        <v>20626.347434150066</v>
      </c>
      <c r="J125" s="7">
        <f t="shared" si="3"/>
        <v>3.6197149904102441</v>
      </c>
      <c r="K125" s="8">
        <f t="shared" si="4"/>
        <v>3.3949708546760355</v>
      </c>
      <c r="L125" s="8">
        <f t="shared" si="5"/>
        <v>4.4952442888008974</v>
      </c>
    </row>
    <row r="126" spans="1:12" x14ac:dyDescent="0.3">
      <c r="A126" s="2">
        <v>56.115000000000002</v>
      </c>
      <c r="B126">
        <v>3.687E-2</v>
      </c>
      <c r="C126">
        <v>1.4558E-2</v>
      </c>
      <c r="D126">
        <v>3.6338000000000002E-2</v>
      </c>
      <c r="E126">
        <v>1.4149999999999999E-2</v>
      </c>
      <c r="F126" s="5">
        <f>(N$2*$A126)/(B126*$M$2)</f>
        <v>4591.1496556788188</v>
      </c>
      <c r="G126" s="5">
        <f>(O$2*$A126)/(C126*$M$2)</f>
        <v>16617.541248206599</v>
      </c>
      <c r="H126" s="5">
        <f>(P$2*$A126)/(D126*$M$2)</f>
        <v>6079.1038043953349</v>
      </c>
      <c r="I126" s="5">
        <f>(Q$2*$A126)/(E126*$M$2)</f>
        <v>20638.457534055586</v>
      </c>
      <c r="J126" s="7">
        <f t="shared" si="3"/>
        <v>3.619472788836728</v>
      </c>
      <c r="K126" s="8">
        <f t="shared" si="4"/>
        <v>3.3949835696395736</v>
      </c>
      <c r="L126" s="8">
        <f t="shared" si="5"/>
        <v>4.4952700482171739</v>
      </c>
    </row>
    <row r="127" spans="1:12" x14ac:dyDescent="0.3">
      <c r="A127" s="2">
        <v>56.143999999999998</v>
      </c>
      <c r="B127">
        <v>3.6868999999999999E-2</v>
      </c>
      <c r="C127">
        <v>1.4558E-2</v>
      </c>
      <c r="D127">
        <v>3.6336E-2</v>
      </c>
      <c r="E127">
        <v>1.4149999999999999E-2</v>
      </c>
      <c r="F127" s="5">
        <f>(N$2*$A127)/(B127*$M$2)</f>
        <v>4593.646933209141</v>
      </c>
      <c r="G127" s="5">
        <f>(O$2*$A127)/(C127*$M$2)</f>
        <v>16626.129124820654</v>
      </c>
      <c r="H127" s="5">
        <f>(P$2*$A127)/(D127*$M$2)</f>
        <v>6082.5802380397345</v>
      </c>
      <c r="I127" s="5">
        <f>(Q$2*$A127)/(E127*$M$2)</f>
        <v>20649.123403582227</v>
      </c>
      <c r="J127" s="7">
        <f t="shared" si="3"/>
        <v>3.6193746203314694</v>
      </c>
      <c r="K127" s="8">
        <f t="shared" si="4"/>
        <v>3.3947967138098831</v>
      </c>
      <c r="L127" s="8">
        <f t="shared" si="5"/>
        <v>4.4951481260569288</v>
      </c>
    </row>
    <row r="128" spans="1:12" x14ac:dyDescent="0.3">
      <c r="A128" s="2">
        <v>56.165999999999997</v>
      </c>
      <c r="B128">
        <v>3.6884E-2</v>
      </c>
      <c r="C128">
        <v>1.4562E-2</v>
      </c>
      <c r="D128">
        <v>3.6351000000000001E-2</v>
      </c>
      <c r="E128">
        <v>1.4154999999999999E-2</v>
      </c>
      <c r="F128" s="5">
        <f>(N$2*$A128)/(B128*$M$2)</f>
        <v>4593.5780733796928</v>
      </c>
      <c r="G128" s="5">
        <f>(O$2*$A128)/(C128*$M$2)</f>
        <v>16628.075285569619</v>
      </c>
      <c r="H128" s="5">
        <f>(P$2*$A128)/(D128*$M$2)</f>
        <v>6082.4527741772617</v>
      </c>
      <c r="I128" s="5">
        <f>(Q$2*$A128)/(E128*$M$2)</f>
        <v>20649.91796207898</v>
      </c>
      <c r="J128" s="7">
        <f t="shared" si="3"/>
        <v>3.6198525463039815</v>
      </c>
      <c r="K128" s="8">
        <f t="shared" si="4"/>
        <v>3.3949984864242824</v>
      </c>
      <c r="L128" s="8">
        <f t="shared" si="5"/>
        <v>4.495388481965203</v>
      </c>
    </row>
    <row r="129" spans="1:12" x14ac:dyDescent="0.3">
      <c r="A129" s="2">
        <v>56.183</v>
      </c>
      <c r="B129">
        <v>3.6894999999999997E-2</v>
      </c>
      <c r="C129">
        <v>1.4566000000000001E-2</v>
      </c>
      <c r="D129">
        <v>3.6361999999999998E-2</v>
      </c>
      <c r="E129">
        <v>1.4158E-2</v>
      </c>
      <c r="F129" s="5">
        <f>(N$2*$A129)/(B129*$M$2)</f>
        <v>4593.5984716020084</v>
      </c>
      <c r="G129" s="5">
        <f>(O$2*$A129)/(C129*$M$2)</f>
        <v>16628.540522277166</v>
      </c>
      <c r="H129" s="5">
        <f>(P$2*$A129)/(D129*$M$2)</f>
        <v>6082.4531941069718</v>
      </c>
      <c r="I129" s="5">
        <f>(Q$2*$A129)/(E129*$M$2)</f>
        <v>20651.791234779525</v>
      </c>
      <c r="J129" s="7">
        <f t="shared" si="3"/>
        <v>3.6199377514330275</v>
      </c>
      <c r="K129" s="8">
        <f t="shared" si="4"/>
        <v>3.3953062318322744</v>
      </c>
      <c r="L129" s="8">
        <f t="shared" si="5"/>
        <v>4.4957763205579555</v>
      </c>
    </row>
    <row r="130" spans="1:12" x14ac:dyDescent="0.3">
      <c r="A130" s="2">
        <v>56.197000000000003</v>
      </c>
      <c r="B130">
        <v>3.6885000000000001E-2</v>
      </c>
      <c r="C130">
        <v>1.4563E-2</v>
      </c>
      <c r="D130">
        <v>3.6352000000000002E-2</v>
      </c>
      <c r="E130">
        <v>1.4154999999999999E-2</v>
      </c>
      <c r="F130" s="5">
        <f>(N$2*$A130)/(B130*$M$2)</f>
        <v>4595.988824857749</v>
      </c>
      <c r="G130" s="5">
        <f>(O$2*$A130)/(C130*$M$2)</f>
        <v>16636.110474787671</v>
      </c>
      <c r="H130" s="5">
        <f>(P$2*$A130)/(D130*$M$2)</f>
        <v>6085.6424814396487</v>
      </c>
      <c r="I130" s="5">
        <f>(Q$2*$A130)/(E130*$M$2)</f>
        <v>20661.315381457691</v>
      </c>
      <c r="J130" s="7">
        <f t="shared" si="3"/>
        <v>3.6197021160734821</v>
      </c>
      <c r="K130" s="8">
        <f t="shared" si="4"/>
        <v>3.3950918813373918</v>
      </c>
      <c r="L130" s="8">
        <f t="shared" si="5"/>
        <v>4.4955103610586304</v>
      </c>
    </row>
    <row r="131" spans="1:12" x14ac:dyDescent="0.3">
      <c r="A131" s="2">
        <v>56.335999999999999</v>
      </c>
      <c r="B131">
        <v>3.6849E-2</v>
      </c>
      <c r="C131">
        <v>1.4553999999999999E-2</v>
      </c>
      <c r="D131">
        <v>3.6317000000000002E-2</v>
      </c>
      <c r="E131">
        <v>1.4147E-2</v>
      </c>
      <c r="F131" s="5">
        <f>(N$2*$A131)/(B131*$M$2)</f>
        <v>4611.8579383628248</v>
      </c>
      <c r="G131" s="5">
        <f>(O$2*$A131)/(C131*$M$2)</f>
        <v>16687.571918284233</v>
      </c>
      <c r="H131" s="5">
        <f>(P$2*$A131)/(D131*$M$2)</f>
        <v>6106.5744222848161</v>
      </c>
      <c r="I131" s="5">
        <f>(Q$2*$A131)/(E131*$M$2)</f>
        <v>20724.132624657726</v>
      </c>
      <c r="J131" s="7">
        <f t="shared" ref="J131:J162" si="6">G131/F131</f>
        <v>3.6184054542252873</v>
      </c>
      <c r="K131" s="8">
        <f t="shared" ref="K131:K162" si="7">I131/H131</f>
        <v>3.3937411045100556</v>
      </c>
      <c r="L131" s="8">
        <f t="shared" ref="L131:L162" si="8">I131/F131</f>
        <v>4.493662402796093</v>
      </c>
    </row>
    <row r="132" spans="1:12" x14ac:dyDescent="0.3">
      <c r="A132" s="2">
        <v>56.368000000000002</v>
      </c>
      <c r="B132">
        <v>3.6839999999999998E-2</v>
      </c>
      <c r="C132">
        <v>1.4553E-2</v>
      </c>
      <c r="D132">
        <v>3.6309000000000001E-2</v>
      </c>
      <c r="E132">
        <v>1.4145E-2</v>
      </c>
      <c r="F132" s="5">
        <f>(N$2*$A132)/(B132*$M$2)</f>
        <v>4615.6048833452514</v>
      </c>
      <c r="G132" s="5">
        <f>(O$2*$A132)/(C132*$M$2)</f>
        <v>16698.198127440181</v>
      </c>
      <c r="H132" s="5">
        <f>(P$2*$A132)/(D132*$M$2)</f>
        <v>6111.3893136201859</v>
      </c>
      <c r="I132" s="5">
        <f>(Q$2*$A132)/(E132*$M$2)</f>
        <v>20738.836261653607</v>
      </c>
      <c r="J132" s="7">
        <f t="shared" si="6"/>
        <v>3.6177702705214725</v>
      </c>
      <c r="K132" s="8">
        <f t="shared" si="7"/>
        <v>3.3934732672706467</v>
      </c>
      <c r="L132" s="8">
        <f t="shared" si="8"/>
        <v>4.4932000866206563</v>
      </c>
    </row>
    <row r="133" spans="1:12" x14ac:dyDescent="0.3">
      <c r="A133" s="2">
        <v>56.789000000000001</v>
      </c>
      <c r="B133">
        <v>3.6873000000000003E-2</v>
      </c>
      <c r="C133">
        <v>1.4567999999999999E-2</v>
      </c>
      <c r="D133">
        <v>3.6340999999999998E-2</v>
      </c>
      <c r="E133">
        <v>1.4160000000000001E-2</v>
      </c>
      <c r="F133" s="5">
        <f>(N$2*$A133)/(B133*$M$2)</f>
        <v>4645.9161538649805</v>
      </c>
      <c r="G133" s="5">
        <f>(O$2*$A133)/(C133*$M$2)</f>
        <v>16805.591458539657</v>
      </c>
      <c r="H133" s="5">
        <f>(P$2*$A133)/(D133*$M$2)</f>
        <v>6151.6123504160769</v>
      </c>
      <c r="I133" s="5">
        <f>(Q$2*$A133)/(E133*$M$2)</f>
        <v>20871.596808304752</v>
      </c>
      <c r="J133" s="7">
        <f t="shared" si="6"/>
        <v>3.617282555682571</v>
      </c>
      <c r="K133" s="8">
        <f t="shared" si="7"/>
        <v>3.3928660681769163</v>
      </c>
      <c r="L133" s="8">
        <f t="shared" si="8"/>
        <v>4.4924609306479795</v>
      </c>
    </row>
    <row r="134" spans="1:12" x14ac:dyDescent="0.3">
      <c r="A134" s="2">
        <v>57.543999999999997</v>
      </c>
      <c r="B134">
        <v>3.7113E-2</v>
      </c>
      <c r="C134">
        <v>1.4648E-2</v>
      </c>
      <c r="D134">
        <v>3.6576999999999998E-2</v>
      </c>
      <c r="E134">
        <v>1.4238000000000001E-2</v>
      </c>
      <c r="F134" s="5">
        <f>(N$2*$A134)/(B134*$M$2)</f>
        <v>4677.239465758169</v>
      </c>
      <c r="G134" s="5">
        <f>(O$2*$A134)/(C134*$M$2)</f>
        <v>16936.014983854497</v>
      </c>
      <c r="H134" s="5">
        <f>(P$2*$A134)/(D134*$M$2)</f>
        <v>6193.1782171052528</v>
      </c>
      <c r="I134" s="5">
        <f>(Q$2*$A134)/(E134*$M$2)</f>
        <v>21033.220144205596</v>
      </c>
      <c r="J134" s="7">
        <f t="shared" si="6"/>
        <v>3.620942461433116</v>
      </c>
      <c r="K134" s="8">
        <f t="shared" si="7"/>
        <v>3.3961916494043201</v>
      </c>
      <c r="L134" s="8">
        <f t="shared" si="8"/>
        <v>4.4969303577866233</v>
      </c>
    </row>
    <row r="135" spans="1:12" x14ac:dyDescent="0.3">
      <c r="A135" s="2">
        <v>57.631999999999998</v>
      </c>
      <c r="B135">
        <v>3.7088000000000003E-2</v>
      </c>
      <c r="C135">
        <v>1.4642000000000001E-2</v>
      </c>
      <c r="D135">
        <v>3.6553000000000002E-2</v>
      </c>
      <c r="E135">
        <v>1.4232E-2</v>
      </c>
      <c r="F135" s="5">
        <f>(N$2*$A135)/(B135*$M$2)</f>
        <v>4687.5498221763928</v>
      </c>
      <c r="G135" s="5">
        <f>(O$2*$A135)/(C135*$M$2)</f>
        <v>16968.865286217959</v>
      </c>
      <c r="H135" s="5">
        <f>(P$2*$A135)/(D135*$M$2)</f>
        <v>6206.7217658162763</v>
      </c>
      <c r="I135" s="5">
        <f>(Q$2*$A135)/(E135*$M$2)</f>
        <v>21074.266356334818</v>
      </c>
      <c r="J135" s="7">
        <f t="shared" si="6"/>
        <v>3.619986118534618</v>
      </c>
      <c r="K135" s="8">
        <f t="shared" si="7"/>
        <v>3.3953940826543945</v>
      </c>
      <c r="L135" s="8">
        <f t="shared" si="8"/>
        <v>4.4957957047484136</v>
      </c>
    </row>
    <row r="136" spans="1:12" x14ac:dyDescent="0.3">
      <c r="A136" s="2">
        <v>57.798999999999999</v>
      </c>
      <c r="B136">
        <v>3.7072000000000001E-2</v>
      </c>
      <c r="C136">
        <v>1.4641E-2</v>
      </c>
      <c r="D136">
        <v>3.6535999999999999E-2</v>
      </c>
      <c r="E136">
        <v>1.4231000000000001E-2</v>
      </c>
      <c r="F136" s="5">
        <f>(N$2*$A136)/(B136*$M$2)</f>
        <v>4703.1618893228197</v>
      </c>
      <c r="G136" s="5">
        <f>(O$2*$A136)/(C136*$M$2)</f>
        <v>17019.198249359099</v>
      </c>
      <c r="H136" s="5">
        <f>(P$2*$A136)/(D136*$M$2)</f>
        <v>6227.60327887724</v>
      </c>
      <c r="I136" s="5">
        <f>(Q$2*$A136)/(E136*$M$2)</f>
        <v>21136.818329344853</v>
      </c>
      <c r="J136" s="7">
        <f t="shared" si="6"/>
        <v>3.6186715766676687</v>
      </c>
      <c r="K136" s="8">
        <f t="shared" si="7"/>
        <v>3.3940534396332902</v>
      </c>
      <c r="L136" s="8">
        <f t="shared" si="8"/>
        <v>4.4941719691448299</v>
      </c>
    </row>
    <row r="137" spans="1:12" x14ac:dyDescent="0.3">
      <c r="A137" s="2">
        <v>57.893999999999998</v>
      </c>
      <c r="B137">
        <v>3.7100000000000001E-2</v>
      </c>
      <c r="C137">
        <v>1.4651000000000001E-2</v>
      </c>
      <c r="D137">
        <v>3.6563999999999999E-2</v>
      </c>
      <c r="E137">
        <v>1.4241E-2</v>
      </c>
      <c r="F137" s="5">
        <f>(N$2*$A137)/(B137*$M$2)</f>
        <v>4707.3367431464067</v>
      </c>
      <c r="G137" s="5">
        <f>(O$2*$A137)/(C137*$M$2)</f>
        <v>17035.535963728827</v>
      </c>
      <c r="H137" s="5">
        <f>(P$2*$A137)/(D137*$M$2)</f>
        <v>6233.0623202185379</v>
      </c>
      <c r="I137" s="5">
        <f>(Q$2*$A137)/(E137*$M$2)</f>
        <v>21156.69275165557</v>
      </c>
      <c r="J137" s="7">
        <f t="shared" si="6"/>
        <v>3.6189329324126902</v>
      </c>
      <c r="K137" s="8">
        <f t="shared" si="7"/>
        <v>3.3942694079968372</v>
      </c>
      <c r="L137" s="8">
        <f t="shared" si="8"/>
        <v>4.4944081772901452</v>
      </c>
    </row>
    <row r="138" spans="1:12" x14ac:dyDescent="0.3">
      <c r="A138" s="2">
        <v>58.694000000000003</v>
      </c>
      <c r="B138">
        <v>3.6720000000000003E-2</v>
      </c>
      <c r="C138">
        <v>1.4558E-2</v>
      </c>
      <c r="D138">
        <v>3.6193000000000003E-2</v>
      </c>
      <c r="E138">
        <v>1.4151E-2</v>
      </c>
      <c r="F138" s="5">
        <f>(N$2*$A138)/(B138*$M$2)</f>
        <v>4821.7718263457155</v>
      </c>
      <c r="G138" s="5">
        <f>(O$2*$A138)/(C138*$M$2)</f>
        <v>17381.269999505268</v>
      </c>
      <c r="H138" s="5">
        <f>(P$2*$A138)/(D138*$M$2)</f>
        <v>6383.9685306388474</v>
      </c>
      <c r="I138" s="5">
        <f>(Q$2*$A138)/(E138*$M$2)</f>
        <v>21585.458870593011</v>
      </c>
      <c r="J138" s="7">
        <f t="shared" si="6"/>
        <v>3.6047475130481321</v>
      </c>
      <c r="K138" s="8">
        <f t="shared" si="7"/>
        <v>3.3811975680953021</v>
      </c>
      <c r="L138" s="8">
        <f t="shared" si="8"/>
        <v>4.4766653520708006</v>
      </c>
    </row>
    <row r="139" spans="1:12" x14ac:dyDescent="0.3">
      <c r="A139" s="2">
        <v>58.837000000000003</v>
      </c>
      <c r="B139">
        <v>3.6701999999999999E-2</v>
      </c>
      <c r="C139">
        <v>1.4555E-2</v>
      </c>
      <c r="D139">
        <v>3.6174999999999999E-2</v>
      </c>
      <c r="E139">
        <v>1.4149E-2</v>
      </c>
      <c r="F139" s="5">
        <f>(N$2*$A139)/(B139*$M$2)</f>
        <v>4835.889956153118</v>
      </c>
      <c r="G139" s="5">
        <f>(O$2*$A139)/(C139*$M$2)</f>
        <v>17427.208379485717</v>
      </c>
      <c r="H139" s="5">
        <f>(P$2*$A139)/(D139*$M$2)</f>
        <v>6402.7064892881835</v>
      </c>
      <c r="I139" s="5">
        <f>(Q$2*$A139)/(E139*$M$2)</f>
        <v>21641.107522034643</v>
      </c>
      <c r="J139" s="7">
        <f t="shared" si="6"/>
        <v>3.6037231073282765</v>
      </c>
      <c r="K139" s="8">
        <f t="shared" si="7"/>
        <v>3.3799936883317256</v>
      </c>
      <c r="L139" s="8">
        <f t="shared" si="8"/>
        <v>4.4751033870195505</v>
      </c>
    </row>
    <row r="140" spans="1:12" x14ac:dyDescent="0.3">
      <c r="A140" s="2">
        <v>58.863999999999997</v>
      </c>
      <c r="B140">
        <v>3.6698000000000001E-2</v>
      </c>
      <c r="C140">
        <v>1.4555E-2</v>
      </c>
      <c r="D140">
        <v>3.6172000000000003E-2</v>
      </c>
      <c r="E140">
        <v>1.4148000000000001E-2</v>
      </c>
      <c r="F140" s="5">
        <f>(N$2*$A140)/(B140*$M$2)</f>
        <v>4838.6364645378426</v>
      </c>
      <c r="G140" s="5">
        <f>(O$2*$A140)/(C140*$M$2)</f>
        <v>17435.205636759983</v>
      </c>
      <c r="H140" s="5">
        <f>(P$2*$A140)/(D140*$M$2)</f>
        <v>6406.1759241792479</v>
      </c>
      <c r="I140" s="5">
        <f>(Q$2*$A140)/(E140*$M$2)</f>
        <v>21652.56884121901</v>
      </c>
      <c r="J140" s="7">
        <f t="shared" si="6"/>
        <v>3.6033303523713451</v>
      </c>
      <c r="K140" s="8">
        <f t="shared" si="7"/>
        <v>3.3799522675445592</v>
      </c>
      <c r="L140" s="8">
        <f t="shared" si="8"/>
        <v>4.4749319358686588</v>
      </c>
    </row>
    <row r="141" spans="1:12" x14ac:dyDescent="0.3">
      <c r="A141" s="2">
        <v>59.323999999999998</v>
      </c>
      <c r="B141">
        <v>3.6899000000000001E-2</v>
      </c>
      <c r="C141">
        <v>1.4621E-2</v>
      </c>
      <c r="D141">
        <v>3.6368999999999999E-2</v>
      </c>
      <c r="E141">
        <v>1.4213E-2</v>
      </c>
      <c r="F141" s="5">
        <f>(N$2*$A141)/(B141*$M$2)</f>
        <v>4849.8850983469047</v>
      </c>
      <c r="G141" s="5">
        <f>(O$2*$A141)/(C141*$M$2)</f>
        <v>17492.136687693066</v>
      </c>
      <c r="H141" s="5">
        <f>(P$2*$A141)/(D141*$M$2)</f>
        <v>6421.2662674902522</v>
      </c>
      <c r="I141" s="5">
        <f>(Q$2*$A141)/(E141*$M$2)</f>
        <v>21721.978469808735</v>
      </c>
      <c r="J141" s="7">
        <f t="shared" si="6"/>
        <v>3.6067115680029831</v>
      </c>
      <c r="K141" s="8">
        <f t="shared" si="7"/>
        <v>3.3828185228485714</v>
      </c>
      <c r="L141" s="8">
        <f t="shared" si="8"/>
        <v>4.4788645564433525</v>
      </c>
    </row>
    <row r="142" spans="1:12" x14ac:dyDescent="0.3">
      <c r="A142" s="2">
        <v>59.44</v>
      </c>
      <c r="B142">
        <v>3.6928000000000002E-2</v>
      </c>
      <c r="C142">
        <v>1.4631E-2</v>
      </c>
      <c r="D142">
        <v>3.6396999999999999E-2</v>
      </c>
      <c r="E142">
        <v>1.4222E-2</v>
      </c>
      <c r="F142" s="5">
        <f>(N$2*$A142)/(B142*$M$2)</f>
        <v>4855.5522678277039</v>
      </c>
      <c r="G142" s="5">
        <f>(O$2*$A142)/(C142*$M$2)</f>
        <v>17514.361270025995</v>
      </c>
      <c r="H142" s="5">
        <f>(P$2*$A142)/(D142*$M$2)</f>
        <v>6428.8726769659434</v>
      </c>
      <c r="I142" s="5">
        <f>(Q$2*$A142)/(E142*$M$2)</f>
        <v>21750.679806398512</v>
      </c>
      <c r="J142" s="7">
        <f t="shared" si="6"/>
        <v>3.6070791341438158</v>
      </c>
      <c r="K142" s="8">
        <f t="shared" si="7"/>
        <v>3.3832805375550814</v>
      </c>
      <c r="L142" s="8">
        <f t="shared" si="8"/>
        <v>4.479548073350144</v>
      </c>
    </row>
    <row r="143" spans="1:12" x14ac:dyDescent="0.3">
      <c r="A143" s="2">
        <v>59.576000000000001</v>
      </c>
      <c r="B143">
        <v>3.7020999999999998E-2</v>
      </c>
      <c r="C143">
        <v>1.4659E-2</v>
      </c>
      <c r="D143">
        <v>3.6489000000000001E-2</v>
      </c>
      <c r="E143">
        <v>1.4249E-2</v>
      </c>
      <c r="F143" s="5">
        <f>(N$2*$A143)/(B143*$M$2)</f>
        <v>4854.4363943733979</v>
      </c>
      <c r="G143" s="5">
        <f>(O$2*$A143)/(C143*$M$2)</f>
        <v>17520.903967115453</v>
      </c>
      <c r="H143" s="5">
        <f>(P$2*$A143)/(D143*$M$2)</f>
        <v>6427.3358223993382</v>
      </c>
      <c r="I143" s="5">
        <f>(Q$2*$A143)/(E143*$M$2)</f>
        <v>21759.136823415221</v>
      </c>
      <c r="J143" s="7">
        <f t="shared" si="6"/>
        <v>3.6092560585247964</v>
      </c>
      <c r="K143" s="8">
        <f t="shared" si="7"/>
        <v>3.3854053101728998</v>
      </c>
      <c r="L143" s="8">
        <f t="shared" si="8"/>
        <v>4.4823198937440916</v>
      </c>
    </row>
    <row r="144" spans="1:12" x14ac:dyDescent="0.3">
      <c r="A144" s="2">
        <v>59.665999999999997</v>
      </c>
      <c r="B144">
        <v>3.6989000000000001E-2</v>
      </c>
      <c r="C144">
        <v>1.4651000000000001E-2</v>
      </c>
      <c r="D144">
        <v>3.6457000000000003E-2</v>
      </c>
      <c r="E144">
        <v>1.4241999999999999E-2</v>
      </c>
      <c r="F144" s="5">
        <f>(N$2*$A144)/(B144*$M$2)</f>
        <v>4865.9758965915371</v>
      </c>
      <c r="G144" s="5">
        <f>(O$2*$A144)/(C144*$M$2)</f>
        <v>17556.953895254159</v>
      </c>
      <c r="H144" s="5">
        <f>(P$2*$A144)/(D144*$M$2)</f>
        <v>6442.6955341425592</v>
      </c>
      <c r="I144" s="5">
        <f>(Q$2*$A144)/(E144*$M$2)</f>
        <v>21802.718676064098</v>
      </c>
      <c r="J144" s="7">
        <f t="shared" si="6"/>
        <v>3.6081053972240702</v>
      </c>
      <c r="K144" s="8">
        <f t="shared" si="7"/>
        <v>3.384098869878656</v>
      </c>
      <c r="L144" s="8">
        <f t="shared" si="8"/>
        <v>4.4806466656228645</v>
      </c>
    </row>
    <row r="145" spans="1:12" x14ac:dyDescent="0.3">
      <c r="A145" s="2">
        <v>59.734999999999999</v>
      </c>
      <c r="B145">
        <v>3.6954000000000001E-2</v>
      </c>
      <c r="C145">
        <v>1.4642000000000001E-2</v>
      </c>
      <c r="D145">
        <v>3.6422999999999997E-2</v>
      </c>
      <c r="E145">
        <v>1.4233000000000001E-2</v>
      </c>
      <c r="F145" s="5">
        <f>(N$2*$A145)/(B145*$M$2)</f>
        <v>4876.2171031354746</v>
      </c>
      <c r="G145" s="5">
        <f>(O$2*$A145)/(C145*$M$2)</f>
        <v>17588.061630209431</v>
      </c>
      <c r="H145" s="5">
        <f>(P$2*$A145)/(D145*$M$2)</f>
        <v>6456.1671661086821</v>
      </c>
      <c r="I145" s="5">
        <f>(Q$2*$A145)/(E145*$M$2)</f>
        <v>21841.734686178501</v>
      </c>
      <c r="J145" s="7">
        <f t="shared" si="6"/>
        <v>3.6069070056171344</v>
      </c>
      <c r="K145" s="8">
        <f t="shared" si="7"/>
        <v>3.3830807233176312</v>
      </c>
      <c r="L145" s="8">
        <f t="shared" si="8"/>
        <v>4.4792375368467425</v>
      </c>
    </row>
    <row r="146" spans="1:12" x14ac:dyDescent="0.3">
      <c r="A146" s="2">
        <v>59.975000000000001</v>
      </c>
      <c r="B146">
        <v>3.6889999999999999E-2</v>
      </c>
      <c r="C146">
        <v>1.4625000000000001E-2</v>
      </c>
      <c r="D146">
        <v>3.6360000000000003E-2</v>
      </c>
      <c r="E146">
        <v>1.4217E-2</v>
      </c>
      <c r="F146" s="5">
        <f>(N$2*$A146)/(B146*$M$2)</f>
        <v>4904.3021772044785</v>
      </c>
      <c r="G146" s="5">
        <f>(O$2*$A146)/(C146*$M$2)</f>
        <v>17679.252359930837</v>
      </c>
      <c r="H146" s="5">
        <f>(P$2*$A146)/(D146*$M$2)</f>
        <v>6493.337772196337</v>
      </c>
      <c r="I146" s="5">
        <f>(Q$2*$A146)/(E146*$M$2)</f>
        <v>21954.16894484132</v>
      </c>
      <c r="J146" s="7">
        <f t="shared" si="6"/>
        <v>3.6048456479915072</v>
      </c>
      <c r="K146" s="8">
        <f t="shared" si="7"/>
        <v>3.3810298670810464</v>
      </c>
      <c r="L146" s="8">
        <f t="shared" si="8"/>
        <v>4.4765122848436523</v>
      </c>
    </row>
    <row r="147" spans="1:12" x14ac:dyDescent="0.3">
      <c r="A147" s="2">
        <v>60.588999999999999</v>
      </c>
      <c r="B147">
        <v>3.7137999999999997E-2</v>
      </c>
      <c r="C147">
        <v>1.4697999999999999E-2</v>
      </c>
      <c r="D147">
        <v>3.6603999999999998E-2</v>
      </c>
      <c r="E147">
        <v>1.4286999999999999E-2</v>
      </c>
      <c r="F147" s="5">
        <f>(N$2*$A147)/(B147*$M$2)</f>
        <v>4921.4252445394832</v>
      </c>
      <c r="G147" s="5">
        <f>(O$2*$A147)/(C147*$M$2)</f>
        <v>17771.539651448296</v>
      </c>
      <c r="H147" s="5">
        <f>(P$2*$A147)/(D147*$M$2)</f>
        <v>6516.086646348519</v>
      </c>
      <c r="I147" s="5">
        <f>(Q$2*$A147)/(E147*$M$2)</f>
        <v>22070.259960972224</v>
      </c>
      <c r="J147" s="7">
        <f t="shared" si="6"/>
        <v>3.6110554907171508</v>
      </c>
      <c r="K147" s="8">
        <f t="shared" si="7"/>
        <v>3.3870421249447231</v>
      </c>
      <c r="L147" s="8">
        <f t="shared" si="8"/>
        <v>4.4845261005356232</v>
      </c>
    </row>
    <row r="148" spans="1:12" x14ac:dyDescent="0.3">
      <c r="A148" s="2">
        <v>60.792000000000002</v>
      </c>
      <c r="B148">
        <v>3.7261000000000002E-2</v>
      </c>
      <c r="C148">
        <v>1.4734000000000001E-2</v>
      </c>
      <c r="D148">
        <v>3.6724E-2</v>
      </c>
      <c r="E148">
        <v>1.4322E-2</v>
      </c>
      <c r="F148" s="5">
        <f>(N$2*$A148)/(B148*$M$2)</f>
        <v>4921.6139545630986</v>
      </c>
      <c r="G148" s="5">
        <f>(O$2*$A148)/(C148*$M$2)</f>
        <v>17787.514996010552</v>
      </c>
      <c r="H148" s="5">
        <f>(P$2*$A148)/(D148*$M$2)</f>
        <v>6516.5550049014273</v>
      </c>
      <c r="I148" s="5">
        <f>(Q$2*$A148)/(E148*$M$2)</f>
        <v>22090.089264001137</v>
      </c>
      <c r="J148" s="7">
        <f t="shared" si="6"/>
        <v>3.614162988041508</v>
      </c>
      <c r="K148" s="8">
        <f t="shared" si="7"/>
        <v>3.3898416030227745</v>
      </c>
      <c r="L148" s="8">
        <f t="shared" si="8"/>
        <v>4.4883831742878169</v>
      </c>
    </row>
    <row r="149" spans="1:12" x14ac:dyDescent="0.3">
      <c r="A149" s="2">
        <v>61.42</v>
      </c>
      <c r="B149">
        <v>3.7227000000000003E-2</v>
      </c>
      <c r="C149">
        <v>1.4728E-2</v>
      </c>
      <c r="D149">
        <v>3.669E-2</v>
      </c>
      <c r="E149">
        <v>1.4317E-2</v>
      </c>
      <c r="F149" s="5">
        <f>(N$2*$A149)/(B149*$M$2)</f>
        <v>4976.9971571905253</v>
      </c>
      <c r="G149" s="5">
        <f>(O$2*$A149)/(C149*$M$2)</f>
        <v>17978.58674504764</v>
      </c>
      <c r="H149" s="5">
        <f>(P$2*$A149)/(D149*$M$2)</f>
        <v>6589.9741795328118</v>
      </c>
      <c r="I149" s="5">
        <f>(Q$2*$A149)/(E149*$M$2)</f>
        <v>22326.080990092232</v>
      </c>
      <c r="J149" s="7">
        <f t="shared" si="6"/>
        <v>3.6123361491322221</v>
      </c>
      <c r="K149" s="8">
        <f t="shared" si="7"/>
        <v>3.3878859585569745</v>
      </c>
      <c r="L149" s="8">
        <f t="shared" si="8"/>
        <v>4.4858536754108025</v>
      </c>
    </row>
    <row r="150" spans="1:12" x14ac:dyDescent="0.3">
      <c r="A150" s="2">
        <v>62.029000000000003</v>
      </c>
      <c r="B150">
        <v>3.7172999999999998E-2</v>
      </c>
      <c r="C150">
        <v>1.472E-2</v>
      </c>
      <c r="D150">
        <v>3.6638999999999998E-2</v>
      </c>
      <c r="E150">
        <v>1.431E-2</v>
      </c>
      <c r="F150" s="5">
        <f>(N$2*$A150)/(B150*$M$2)</f>
        <v>5033.6473692878335</v>
      </c>
      <c r="G150" s="5">
        <f>(O$2*$A150)/(C150*$M$2)</f>
        <v>18166.718345364057</v>
      </c>
      <c r="H150" s="5">
        <f>(P$2*$A150)/(D150*$M$2)</f>
        <v>6664.5799240764027</v>
      </c>
      <c r="I150" s="5">
        <f>(Q$2*$A150)/(E150*$M$2)</f>
        <v>22558.481108664761</v>
      </c>
      <c r="J150" s="7">
        <f t="shared" si="6"/>
        <v>3.6090566169187785</v>
      </c>
      <c r="K150" s="8">
        <f t="shared" si="7"/>
        <v>3.3848316571566937</v>
      </c>
      <c r="L150" s="8">
        <f t="shared" si="8"/>
        <v>4.4815378300638411</v>
      </c>
    </row>
    <row r="151" spans="1:12" x14ac:dyDescent="0.3">
      <c r="A151" s="2">
        <v>62.051000000000002</v>
      </c>
      <c r="B151">
        <v>3.7178000000000003E-2</v>
      </c>
      <c r="C151">
        <v>1.4722000000000001E-2</v>
      </c>
      <c r="D151">
        <v>3.6643000000000002E-2</v>
      </c>
      <c r="E151">
        <v>1.4311000000000001E-2</v>
      </c>
      <c r="F151" s="5">
        <f>(N$2*$A151)/(B151*$M$2)</f>
        <v>5034.7554612024687</v>
      </c>
      <c r="G151" s="5">
        <f>(O$2*$A151)/(C151*$M$2)</f>
        <v>18170.692742364121</v>
      </c>
      <c r="H151" s="5">
        <f>(P$2*$A151)/(D151*$M$2)</f>
        <v>6666.2158967044506</v>
      </c>
      <c r="I151" s="5">
        <f>(Q$2*$A151)/(E151*$M$2)</f>
        <v>22564.905125954312</v>
      </c>
      <c r="J151" s="7">
        <f t="shared" si="6"/>
        <v>3.6090516972247046</v>
      </c>
      <c r="K151" s="8">
        <f t="shared" si="7"/>
        <v>3.3849646449509128</v>
      </c>
      <c r="L151" s="8">
        <f t="shared" si="8"/>
        <v>4.4818274293236584</v>
      </c>
    </row>
    <row r="152" spans="1:12" x14ac:dyDescent="0.3">
      <c r="A152" s="2">
        <v>62.133000000000003</v>
      </c>
      <c r="B152">
        <v>3.7194999999999999E-2</v>
      </c>
      <c r="C152">
        <v>1.4728E-2</v>
      </c>
      <c r="D152">
        <v>3.6659999999999998E-2</v>
      </c>
      <c r="E152">
        <v>1.4317E-2</v>
      </c>
      <c r="F152" s="5">
        <f>(N$2*$A152)/(B152*$M$2)</f>
        <v>5039.104679031735</v>
      </c>
      <c r="G152" s="5">
        <f>(O$2*$A152)/(C152*$M$2)</f>
        <v>18187.292905080511</v>
      </c>
      <c r="H152" s="5">
        <f>(P$2*$A152)/(D152*$M$2)</f>
        <v>6671.9299111870623</v>
      </c>
      <c r="I152" s="5">
        <f>(Q$2*$A152)/(E152*$M$2)</f>
        <v>22585.255456812127</v>
      </c>
      <c r="J152" s="7">
        <f t="shared" si="6"/>
        <v>3.6092310169224748</v>
      </c>
      <c r="K152" s="8">
        <f t="shared" si="7"/>
        <v>3.3851158146824392</v>
      </c>
      <c r="L152" s="8">
        <f t="shared" si="8"/>
        <v>4.4819976752600201</v>
      </c>
    </row>
    <row r="153" spans="1:12" x14ac:dyDescent="0.3">
      <c r="A153" s="2">
        <v>62.143999999999998</v>
      </c>
      <c r="B153">
        <v>3.7205000000000002E-2</v>
      </c>
      <c r="C153">
        <v>1.4730999999999999E-2</v>
      </c>
      <c r="D153">
        <v>3.6669E-2</v>
      </c>
      <c r="E153">
        <v>1.4319999999999999E-2</v>
      </c>
      <c r="F153" s="5">
        <f>(N$2*$A153)/(B153*$M$2)</f>
        <v>5038.6421442174369</v>
      </c>
      <c r="G153" s="5">
        <f>(O$2*$A153)/(C153*$M$2)</f>
        <v>18186.808238455546</v>
      </c>
      <c r="H153" s="5">
        <f>(P$2*$A153)/(D153*$M$2)</f>
        <v>6671.4732656050237</v>
      </c>
      <c r="I153" s="5">
        <f>(Q$2*$A153)/(E153*$M$2)</f>
        <v>22584.521555268781</v>
      </c>
      <c r="J153" s="7">
        <f t="shared" si="6"/>
        <v>3.6094661454232289</v>
      </c>
      <c r="K153" s="8">
        <f t="shared" si="7"/>
        <v>3.385237511436034</v>
      </c>
      <c r="L153" s="8">
        <f t="shared" si="8"/>
        <v>4.4822634568695756</v>
      </c>
    </row>
    <row r="154" spans="1:12" x14ac:dyDescent="0.3">
      <c r="A154" s="2">
        <v>62.148000000000003</v>
      </c>
      <c r="B154">
        <v>3.7207999999999998E-2</v>
      </c>
      <c r="C154">
        <v>1.4732E-2</v>
      </c>
      <c r="D154">
        <v>3.6672000000000003E-2</v>
      </c>
      <c r="E154">
        <v>1.4321E-2</v>
      </c>
      <c r="F154" s="5">
        <f>(N$2*$A154)/(B154*$M$2)</f>
        <v>5038.5601837527738</v>
      </c>
      <c r="G154" s="5">
        <f>(O$2*$A154)/(C154*$M$2)</f>
        <v>18186.744272123924</v>
      </c>
      <c r="H154" s="5">
        <f>(P$2*$A154)/(D154*$M$2)</f>
        <v>6671.3568823144442</v>
      </c>
      <c r="I154" s="5">
        <f>(Q$2*$A154)/(E154*$M$2)</f>
        <v>22584.398122090362</v>
      </c>
      <c r="J154" s="7">
        <f t="shared" si="6"/>
        <v>3.6095121639647143</v>
      </c>
      <c r="K154" s="8">
        <f t="shared" si="7"/>
        <v>3.3852780656901875</v>
      </c>
      <c r="L154" s="8">
        <f t="shared" si="8"/>
        <v>4.482311870544982</v>
      </c>
    </row>
    <row r="155" spans="1:12" x14ac:dyDescent="0.3">
      <c r="A155" s="2">
        <v>62.281999999999996</v>
      </c>
      <c r="B155">
        <v>3.7134E-2</v>
      </c>
      <c r="C155">
        <v>1.4713E-2</v>
      </c>
      <c r="D155">
        <v>3.6600000000000001E-2</v>
      </c>
      <c r="E155">
        <v>1.4302E-2</v>
      </c>
      <c r="F155" s="5">
        <f>(N$2*$A155)/(B155*$M$2)</f>
        <v>5059.4864478940481</v>
      </c>
      <c r="G155" s="5">
        <f>(O$2*$A155)/(C155*$M$2)</f>
        <v>18249.494046149954</v>
      </c>
      <c r="H155" s="5">
        <f>(P$2*$A155)/(D155*$M$2)</f>
        <v>6698.8935623593707</v>
      </c>
      <c r="I155" s="5">
        <f>(Q$2*$A155)/(E155*$M$2)</f>
        <v>22663.161059935421</v>
      </c>
      <c r="J155" s="7">
        <f t="shared" si="6"/>
        <v>3.6069854587210313</v>
      </c>
      <c r="K155" s="8">
        <f t="shared" si="7"/>
        <v>3.3831200404911921</v>
      </c>
      <c r="L155" s="8">
        <f t="shared" si="8"/>
        <v>4.479340204452706</v>
      </c>
    </row>
    <row r="156" spans="1:12" x14ac:dyDescent="0.3">
      <c r="A156" s="2">
        <v>62.320999999999998</v>
      </c>
      <c r="B156">
        <v>3.7113E-2</v>
      </c>
      <c r="C156">
        <v>1.4707E-2</v>
      </c>
      <c r="D156">
        <v>3.6579E-2</v>
      </c>
      <c r="E156">
        <v>1.4297000000000001E-2</v>
      </c>
      <c r="F156" s="5">
        <f>(N$2*$A156)/(B156*$M$2)</f>
        <v>5065.519267786648</v>
      </c>
      <c r="G156" s="5">
        <f>(O$2*$A156)/(C156*$M$2)</f>
        <v>18268.371479523652</v>
      </c>
      <c r="H156" s="5">
        <f>(P$2*$A156)/(D156*$M$2)</f>
        <v>6706.936545478522</v>
      </c>
      <c r="I156" s="5">
        <f>(Q$2*$A156)/(E156*$M$2)</f>
        <v>22685.283179724163</v>
      </c>
      <c r="J156" s="7">
        <f t="shared" si="6"/>
        <v>3.6064163442627515</v>
      </c>
      <c r="K156" s="8">
        <f t="shared" si="7"/>
        <v>3.3823613845008622</v>
      </c>
      <c r="L156" s="8">
        <f t="shared" si="8"/>
        <v>4.4783726959618058</v>
      </c>
    </row>
    <row r="157" spans="1:12" x14ac:dyDescent="0.3">
      <c r="A157" s="2">
        <v>63.249000000000002</v>
      </c>
      <c r="B157">
        <v>3.6927000000000001E-2</v>
      </c>
      <c r="C157">
        <v>1.4666E-2</v>
      </c>
      <c r="D157">
        <v>3.6396999999999999E-2</v>
      </c>
      <c r="E157">
        <v>1.4258E-2</v>
      </c>
      <c r="F157" s="5">
        <f>(N$2*$A157)/(B157*$M$2)</f>
        <v>5166.8429009905503</v>
      </c>
      <c r="G157" s="5">
        <f>(O$2*$A157)/(C157*$M$2)</f>
        <v>18592.230546657167</v>
      </c>
      <c r="H157" s="5">
        <f>(P$2*$A157)/(D157*$M$2)</f>
        <v>6840.8440098489054</v>
      </c>
      <c r="I157" s="5">
        <f>(Q$2*$A157)/(E157*$M$2)</f>
        <v>23086.056904347079</v>
      </c>
      <c r="J157" s="7">
        <f t="shared" si="6"/>
        <v>3.5983734947878512</v>
      </c>
      <c r="K157" s="8">
        <f t="shared" si="7"/>
        <v>3.3747380982682258</v>
      </c>
      <c r="L157" s="8">
        <f t="shared" si="8"/>
        <v>4.4681166713857667</v>
      </c>
    </row>
    <row r="158" spans="1:12" x14ac:dyDescent="0.3">
      <c r="A158" s="2">
        <v>63.356999999999999</v>
      </c>
      <c r="B158">
        <v>3.6921000000000002E-2</v>
      </c>
      <c r="C158">
        <v>1.4666E-2</v>
      </c>
      <c r="D158">
        <v>3.6391E-2</v>
      </c>
      <c r="E158">
        <v>1.4258E-2</v>
      </c>
      <c r="F158" s="5">
        <f>(N$2*$A158)/(B158*$M$2)</f>
        <v>5176.5065687383931</v>
      </c>
      <c r="G158" s="5">
        <f>(O$2*$A158)/(C158*$M$2)</f>
        <v>18623.977465960856</v>
      </c>
      <c r="H158" s="5">
        <f>(P$2*$A158)/(D158*$M$2)</f>
        <v>6853.6548197114034</v>
      </c>
      <c r="I158" s="5">
        <f>(Q$2*$A158)/(E158*$M$2)</f>
        <v>23125.477197880089</v>
      </c>
      <c r="J158" s="7">
        <f t="shared" si="6"/>
        <v>3.5977888212165161</v>
      </c>
      <c r="K158" s="8">
        <f t="shared" si="7"/>
        <v>3.3741817769068603</v>
      </c>
      <c r="L158" s="8">
        <f t="shared" si="8"/>
        <v>4.4673906795632989</v>
      </c>
    </row>
    <row r="159" spans="1:12" x14ac:dyDescent="0.3">
      <c r="A159" s="2">
        <v>63.472000000000001</v>
      </c>
      <c r="B159">
        <v>3.6881999999999998E-2</v>
      </c>
      <c r="C159">
        <v>1.4657E-2</v>
      </c>
      <c r="D159">
        <v>3.6353000000000003E-2</v>
      </c>
      <c r="E159">
        <v>1.4249E-2</v>
      </c>
      <c r="F159" s="5">
        <f>(N$2*$A159)/(B159*$M$2)</f>
        <v>5191.3862139109451</v>
      </c>
      <c r="G159" s="5">
        <f>(O$2*$A159)/(C159*$M$2)</f>
        <v>18669.238700464732</v>
      </c>
      <c r="H159" s="5">
        <f>(P$2*$A159)/(D159*$M$2)</f>
        <v>6873.2721338638621</v>
      </c>
      <c r="I159" s="5">
        <f>(Q$2*$A159)/(E159*$M$2)</f>
        <v>23182.085612592502</v>
      </c>
      <c r="J159" s="7">
        <f t="shared" si="6"/>
        <v>3.5961952995210136</v>
      </c>
      <c r="K159" s="8">
        <f t="shared" si="7"/>
        <v>3.3727873945768705</v>
      </c>
      <c r="L159" s="8">
        <f t="shared" si="8"/>
        <v>4.4654904600380743</v>
      </c>
    </row>
    <row r="160" spans="1:12" x14ac:dyDescent="0.3">
      <c r="A160" s="2">
        <v>63.529000000000003</v>
      </c>
      <c r="B160">
        <v>3.6845000000000003E-2</v>
      </c>
      <c r="C160">
        <v>1.4647E-2</v>
      </c>
      <c r="D160">
        <v>3.6317000000000002E-2</v>
      </c>
      <c r="E160">
        <v>1.4239E-2</v>
      </c>
      <c r="F160" s="5">
        <f>(N$2*$A160)/(B160*$M$2)</f>
        <v>5201.2661611430885</v>
      </c>
      <c r="G160" s="5">
        <f>(O$2*$A160)/(C160*$M$2)</f>
        <v>18698.761871656061</v>
      </c>
      <c r="H160" s="5">
        <f>(P$2*$A160)/(D160*$M$2)</f>
        <v>6886.2639604042197</v>
      </c>
      <c r="I160" s="5">
        <f>(Q$2*$A160)/(E160*$M$2)</f>
        <v>23219.199226959954</v>
      </c>
      <c r="J160" s="7">
        <f t="shared" si="6"/>
        <v>3.5950403790808143</v>
      </c>
      <c r="K160" s="8">
        <f t="shared" si="7"/>
        <v>3.3718137092143938</v>
      </c>
      <c r="L160" s="8">
        <f t="shared" si="8"/>
        <v>4.4641436349523484</v>
      </c>
    </row>
    <row r="161" spans="1:12" x14ac:dyDescent="0.3">
      <c r="A161" s="2">
        <v>63.828000000000003</v>
      </c>
      <c r="B161">
        <v>3.6895999999999998E-2</v>
      </c>
      <c r="C161">
        <v>1.4664999999999999E-2</v>
      </c>
      <c r="D161">
        <v>3.6366999999999997E-2</v>
      </c>
      <c r="E161">
        <v>1.4257000000000001E-2</v>
      </c>
      <c r="F161" s="5">
        <f>(N$2*$A161)/(B161*$M$2)</f>
        <v>5218.5226239079402</v>
      </c>
      <c r="G161" s="5">
        <f>(O$2*$A161)/(C161*$M$2)</f>
        <v>18763.708710410061</v>
      </c>
      <c r="H161" s="5">
        <f>(P$2*$A161)/(D161*$M$2)</f>
        <v>6909.1619470787209</v>
      </c>
      <c r="I161" s="5">
        <f>(Q$2*$A161)/(E161*$M$2)</f>
        <v>23299.027580098831</v>
      </c>
      <c r="J161" s="7">
        <f t="shared" si="6"/>
        <v>3.5955978468784866</v>
      </c>
      <c r="K161" s="8">
        <f t="shared" si="7"/>
        <v>3.3721930038056134</v>
      </c>
      <c r="L161" s="8">
        <f t="shared" si="8"/>
        <v>4.4646788486376501</v>
      </c>
    </row>
    <row r="162" spans="1:12" x14ac:dyDescent="0.3">
      <c r="A162" s="2">
        <v>64.599999999999994</v>
      </c>
      <c r="B162">
        <v>3.7324999999999997E-2</v>
      </c>
      <c r="C162">
        <v>1.4795000000000001E-2</v>
      </c>
      <c r="D162">
        <v>3.6788000000000001E-2</v>
      </c>
      <c r="E162">
        <v>1.4383E-2</v>
      </c>
      <c r="F162" s="5">
        <f>(N$2*$A162)/(B162*$M$2)</f>
        <v>5220.9354222142356</v>
      </c>
      <c r="G162" s="5">
        <f>(O$2*$A162)/(C162*$M$2)</f>
        <v>18823.789678451019</v>
      </c>
      <c r="H162" s="5">
        <f>(P$2*$A162)/(D162*$M$2)</f>
        <v>6912.7038708274431</v>
      </c>
      <c r="I162" s="5">
        <f>(Q$2*$A162)/(E162*$M$2)</f>
        <v>23374.2533105648</v>
      </c>
      <c r="J162" s="7">
        <f t="shared" si="6"/>
        <v>3.6054438824044519</v>
      </c>
      <c r="K162" s="8">
        <f t="shared" si="7"/>
        <v>3.3813474072290801</v>
      </c>
      <c r="L162" s="8">
        <f t="shared" si="8"/>
        <v>4.4770240235324756</v>
      </c>
    </row>
    <row r="163" spans="1:12" x14ac:dyDescent="0.3">
      <c r="A163" s="2"/>
      <c r="F163" s="5"/>
      <c r="G163" s="5"/>
      <c r="H163" s="5"/>
      <c r="I163" s="5"/>
      <c r="J163" s="7"/>
    </row>
    <row r="164" spans="1:12" x14ac:dyDescent="0.3">
      <c r="A164" s="2"/>
      <c r="F164" s="5"/>
      <c r="G164" s="5"/>
      <c r="H164" s="5"/>
      <c r="I164" s="5"/>
      <c r="J164" s="7"/>
    </row>
    <row r="165" spans="1:12" x14ac:dyDescent="0.3">
      <c r="A165" s="2"/>
      <c r="F165" s="5"/>
      <c r="G165" s="5"/>
      <c r="H165" s="5"/>
      <c r="I165" s="5"/>
      <c r="J165" s="7"/>
    </row>
    <row r="166" spans="1:12" x14ac:dyDescent="0.3">
      <c r="A166" s="2"/>
      <c r="F166" s="5"/>
      <c r="G166" s="5"/>
      <c r="H166" s="5"/>
      <c r="I166" s="5"/>
      <c r="J166" s="7"/>
    </row>
    <row r="167" spans="1:12" x14ac:dyDescent="0.3">
      <c r="A167" s="2"/>
      <c r="F167" s="5"/>
      <c r="G167" s="5"/>
      <c r="H167" s="5"/>
      <c r="I167" s="5"/>
      <c r="J167" s="7"/>
    </row>
    <row r="168" spans="1:12" x14ac:dyDescent="0.3">
      <c r="A168" s="2"/>
      <c r="F168" s="5"/>
      <c r="G168" s="5"/>
      <c r="H168" s="5"/>
      <c r="I168" s="5"/>
      <c r="J168" s="7"/>
    </row>
    <row r="169" spans="1:12" x14ac:dyDescent="0.3">
      <c r="A169" s="2"/>
      <c r="F169" s="5"/>
      <c r="G169" s="5"/>
      <c r="H169" s="5"/>
      <c r="I169" s="5"/>
      <c r="J169" s="7"/>
    </row>
    <row r="170" spans="1:12" x14ac:dyDescent="0.3">
      <c r="A170" s="2"/>
      <c r="F170" s="5"/>
      <c r="G170" s="5"/>
      <c r="H170" s="5"/>
      <c r="I170" s="5"/>
      <c r="J170" s="7"/>
    </row>
    <row r="171" spans="1:12" x14ac:dyDescent="0.3">
      <c r="A171" s="2"/>
      <c r="F171" s="5"/>
      <c r="G171" s="5"/>
      <c r="H171" s="5"/>
      <c r="I171" s="5"/>
      <c r="J171" s="7"/>
    </row>
    <row r="172" spans="1:12" x14ac:dyDescent="0.3">
      <c r="A172" s="2"/>
      <c r="F172" s="5"/>
      <c r="G172" s="5"/>
      <c r="H172" s="5"/>
      <c r="I172" s="5"/>
      <c r="J172" s="7"/>
    </row>
    <row r="173" spans="1:12" x14ac:dyDescent="0.3">
      <c r="A173" s="2"/>
      <c r="F173" s="5"/>
      <c r="G173" s="5"/>
      <c r="H173" s="5"/>
      <c r="I173" s="5"/>
      <c r="J173" s="7"/>
    </row>
    <row r="174" spans="1:12" x14ac:dyDescent="0.3">
      <c r="A174" s="2"/>
      <c r="F174" s="5"/>
      <c r="G174" s="5"/>
      <c r="H174" s="5"/>
      <c r="I174" s="5"/>
      <c r="J174" s="7"/>
    </row>
    <row r="175" spans="1:12" x14ac:dyDescent="0.3">
      <c r="A175" s="2"/>
      <c r="F175" s="5"/>
      <c r="G175" s="5"/>
      <c r="H175" s="5"/>
      <c r="I175" s="5"/>
      <c r="J175" s="7"/>
    </row>
    <row r="176" spans="1:12" x14ac:dyDescent="0.3">
      <c r="A176" s="2"/>
      <c r="F176" s="5"/>
      <c r="G176" s="5"/>
      <c r="H176" s="5"/>
      <c r="I176" s="5"/>
      <c r="J176" s="7"/>
    </row>
    <row r="177" spans="1:10" x14ac:dyDescent="0.3">
      <c r="A177" s="2"/>
      <c r="F177" s="5"/>
      <c r="G177" s="5"/>
      <c r="H177" s="5"/>
      <c r="I177" s="5"/>
      <c r="J177" s="7"/>
    </row>
    <row r="178" spans="1:10" x14ac:dyDescent="0.3">
      <c r="A178" s="2"/>
      <c r="F178" s="5"/>
      <c r="G178" s="5"/>
      <c r="H178" s="5"/>
      <c r="I178" s="5"/>
      <c r="J178" s="7"/>
    </row>
    <row r="179" spans="1:10" x14ac:dyDescent="0.3">
      <c r="A179" s="2"/>
      <c r="F179" s="5"/>
      <c r="G179" s="5"/>
      <c r="H179" s="5"/>
      <c r="I179" s="5"/>
      <c r="J179" s="7"/>
    </row>
    <row r="180" spans="1:10" x14ac:dyDescent="0.3">
      <c r="A180" s="2"/>
      <c r="F180" s="5"/>
      <c r="G180" s="5"/>
      <c r="H180" s="5"/>
      <c r="I180" s="5"/>
      <c r="J180" s="7"/>
    </row>
    <row r="181" spans="1:10" x14ac:dyDescent="0.3">
      <c r="A181" s="2"/>
      <c r="F181" s="5"/>
      <c r="G181" s="5"/>
      <c r="H181" s="5"/>
      <c r="I181" s="5"/>
      <c r="J181" s="7"/>
    </row>
    <row r="182" spans="1:10" x14ac:dyDescent="0.3">
      <c r="A182" s="2"/>
      <c r="F182" s="5"/>
      <c r="G182" s="5"/>
      <c r="H182" s="5"/>
      <c r="I182" s="5"/>
      <c r="J182" s="7"/>
    </row>
    <row r="183" spans="1:10" x14ac:dyDescent="0.3">
      <c r="A183" s="2"/>
      <c r="F183" s="5"/>
      <c r="G183" s="5"/>
      <c r="H183" s="5"/>
      <c r="I183" s="5"/>
      <c r="J183" s="7"/>
    </row>
    <row r="184" spans="1:10" x14ac:dyDescent="0.3">
      <c r="A184" s="2"/>
      <c r="F184" s="5"/>
      <c r="G184" s="5"/>
      <c r="H184" s="5"/>
      <c r="I184" s="5"/>
      <c r="J184" s="7"/>
    </row>
    <row r="185" spans="1:10" x14ac:dyDescent="0.3">
      <c r="A185" s="2"/>
      <c r="F185" s="5"/>
      <c r="G185" s="5"/>
      <c r="H185" s="5"/>
      <c r="I185" s="5"/>
      <c r="J185" s="7"/>
    </row>
    <row r="186" spans="1:10" x14ac:dyDescent="0.3">
      <c r="A186" s="2"/>
      <c r="F186" s="5"/>
      <c r="G186" s="5"/>
      <c r="H186" s="5"/>
      <c r="I186" s="5"/>
      <c r="J186" s="7"/>
    </row>
    <row r="187" spans="1:10" x14ac:dyDescent="0.3">
      <c r="A187" s="2"/>
      <c r="F187" s="5"/>
      <c r="G187" s="5"/>
      <c r="H187" s="5"/>
      <c r="I187" s="5"/>
      <c r="J187" s="7"/>
    </row>
    <row r="188" spans="1:10" x14ac:dyDescent="0.3">
      <c r="A188" s="2"/>
      <c r="F188" s="5"/>
      <c r="G188" s="5"/>
      <c r="H188" s="5"/>
      <c r="I188" s="5"/>
      <c r="J188" s="7"/>
    </row>
    <row r="189" spans="1:10" x14ac:dyDescent="0.3">
      <c r="A189" s="2"/>
      <c r="F189" s="5"/>
      <c r="G189" s="5"/>
      <c r="H189" s="5"/>
      <c r="I189" s="5"/>
      <c r="J189" s="7"/>
    </row>
    <row r="190" spans="1:10" x14ac:dyDescent="0.3">
      <c r="A190" s="2"/>
      <c r="F190" s="5"/>
      <c r="G190" s="5"/>
      <c r="H190" s="5"/>
      <c r="I190" s="5"/>
      <c r="J190" s="7"/>
    </row>
    <row r="191" spans="1:10" x14ac:dyDescent="0.3">
      <c r="A191" s="2"/>
      <c r="F191" s="5"/>
      <c r="G191" s="5"/>
      <c r="H191" s="5"/>
      <c r="I191" s="5"/>
      <c r="J191" s="7"/>
    </row>
    <row r="192" spans="1:10" x14ac:dyDescent="0.3">
      <c r="A192" s="2"/>
      <c r="F192" s="5"/>
      <c r="G192" s="5"/>
      <c r="H192" s="5"/>
      <c r="I192" s="5"/>
      <c r="J192" s="7"/>
    </row>
    <row r="193" spans="1:10" x14ac:dyDescent="0.3">
      <c r="A193" s="2"/>
      <c r="F193" s="5"/>
      <c r="G193" s="5"/>
      <c r="H193" s="5"/>
      <c r="I193" s="5"/>
      <c r="J193" s="7"/>
    </row>
    <row r="194" spans="1:10" x14ac:dyDescent="0.3">
      <c r="A194" s="2"/>
      <c r="F194" s="5"/>
      <c r="G194" s="5"/>
      <c r="H194" s="5"/>
      <c r="I194" s="5"/>
      <c r="J194" s="7"/>
    </row>
    <row r="195" spans="1:10" x14ac:dyDescent="0.3">
      <c r="A195" s="2"/>
      <c r="F195" s="5"/>
      <c r="G195" s="5"/>
      <c r="H195" s="5"/>
      <c r="I195" s="5"/>
      <c r="J195" s="7"/>
    </row>
    <row r="196" spans="1:10" x14ac:dyDescent="0.3">
      <c r="A196" s="2"/>
      <c r="F196" s="5"/>
      <c r="G196" s="5"/>
      <c r="H196" s="5"/>
      <c r="I196" s="5"/>
      <c r="J196" s="7"/>
    </row>
    <row r="197" spans="1:10" x14ac:dyDescent="0.3">
      <c r="A197" s="2"/>
      <c r="F197" s="5"/>
      <c r="G197" s="5"/>
      <c r="H197" s="5"/>
      <c r="I197" s="5"/>
      <c r="J197" s="7"/>
    </row>
    <row r="198" spans="1:10" x14ac:dyDescent="0.3">
      <c r="A198" s="2"/>
      <c r="F198" s="5"/>
      <c r="G198" s="5"/>
      <c r="H198" s="5"/>
      <c r="I198" s="5"/>
      <c r="J198" s="7"/>
    </row>
    <row r="199" spans="1:10" x14ac:dyDescent="0.3">
      <c r="A199" s="2"/>
      <c r="F199" s="5"/>
      <c r="G199" s="5"/>
      <c r="H199" s="5"/>
      <c r="I199" s="5"/>
      <c r="J199" s="7"/>
    </row>
    <row r="200" spans="1:10" x14ac:dyDescent="0.3">
      <c r="A200" s="2"/>
      <c r="F200" s="5"/>
      <c r="G200" s="5"/>
      <c r="H200" s="5"/>
      <c r="I200" s="5"/>
      <c r="J200" s="7"/>
    </row>
    <row r="201" spans="1:10" x14ac:dyDescent="0.3">
      <c r="A201" s="2"/>
      <c r="F201" s="5"/>
      <c r="G201" s="5"/>
      <c r="H201" s="5"/>
      <c r="I201" s="5"/>
      <c r="J201" s="7"/>
    </row>
    <row r="202" spans="1:10" x14ac:dyDescent="0.3">
      <c r="A202" s="2"/>
      <c r="F202" s="5"/>
      <c r="G202" s="5"/>
      <c r="H202" s="5"/>
      <c r="I202" s="5"/>
      <c r="J202" s="7"/>
    </row>
    <row r="203" spans="1:10" x14ac:dyDescent="0.3">
      <c r="A203" s="2"/>
      <c r="F203" s="5"/>
      <c r="G203" s="5"/>
      <c r="H203" s="5"/>
      <c r="I203" s="5"/>
      <c r="J203" s="7"/>
    </row>
    <row r="204" spans="1:10" x14ac:dyDescent="0.3">
      <c r="A204" s="2"/>
      <c r="F204" s="5"/>
      <c r="G204" s="5"/>
      <c r="H204" s="5"/>
      <c r="I204" s="5"/>
      <c r="J204" s="7"/>
    </row>
    <row r="205" spans="1:10" x14ac:dyDescent="0.3">
      <c r="A205" s="2"/>
      <c r="F205" s="5"/>
      <c r="G205" s="5"/>
      <c r="H205" s="5"/>
      <c r="I205" s="5"/>
      <c r="J205" s="7"/>
    </row>
    <row r="206" spans="1:10" x14ac:dyDescent="0.3">
      <c r="A206" s="2"/>
      <c r="F206" s="5"/>
      <c r="G206" s="5"/>
      <c r="H206" s="5"/>
      <c r="I206" s="5"/>
      <c r="J206" s="7"/>
    </row>
    <row r="207" spans="1:10" x14ac:dyDescent="0.3">
      <c r="A207" s="2"/>
      <c r="F207" s="5"/>
      <c r="G207" s="5"/>
      <c r="H207" s="5"/>
      <c r="I207" s="5"/>
      <c r="J207" s="7"/>
    </row>
    <row r="208" spans="1:10" x14ac:dyDescent="0.3">
      <c r="A208" s="2"/>
      <c r="F208" s="5"/>
      <c r="G208" s="5"/>
      <c r="H208" s="5"/>
      <c r="I208" s="5"/>
      <c r="J208" s="7"/>
    </row>
    <row r="209" spans="1:10" x14ac:dyDescent="0.3">
      <c r="A209" s="2"/>
      <c r="F209" s="5"/>
      <c r="G209" s="5"/>
      <c r="H209" s="5"/>
      <c r="I209" s="5"/>
      <c r="J209" s="7"/>
    </row>
    <row r="210" spans="1:10" x14ac:dyDescent="0.3">
      <c r="A210" s="2"/>
      <c r="F210" s="5"/>
      <c r="G210" s="5"/>
      <c r="H210" s="5"/>
      <c r="I210" s="5"/>
      <c r="J210" s="7"/>
    </row>
    <row r="211" spans="1:10" x14ac:dyDescent="0.3">
      <c r="A211" s="2"/>
      <c r="F211" s="5"/>
      <c r="G211" s="5"/>
      <c r="H211" s="5"/>
      <c r="I211" s="5"/>
      <c r="J211" s="7"/>
    </row>
    <row r="212" spans="1:10" x14ac:dyDescent="0.3">
      <c r="A212" s="2"/>
      <c r="F212" s="5"/>
      <c r="G212" s="5"/>
      <c r="H212" s="5"/>
      <c r="I212" s="5"/>
      <c r="J212" s="7"/>
    </row>
    <row r="213" spans="1:10" x14ac:dyDescent="0.3">
      <c r="A213" s="2"/>
      <c r="F213" s="5"/>
      <c r="G213" s="5"/>
      <c r="H213" s="5"/>
      <c r="I213" s="5"/>
      <c r="J213" s="7"/>
    </row>
    <row r="214" spans="1:10" x14ac:dyDescent="0.3">
      <c r="A214" s="2"/>
      <c r="F214" s="5"/>
      <c r="G214" s="5"/>
      <c r="H214" s="5"/>
      <c r="I214" s="5"/>
      <c r="J214" s="7"/>
    </row>
    <row r="215" spans="1:10" x14ac:dyDescent="0.3">
      <c r="A215" s="2"/>
      <c r="F215" s="5"/>
      <c r="G215" s="5"/>
      <c r="H215" s="5"/>
      <c r="I215" s="5"/>
      <c r="J215" s="7"/>
    </row>
    <row r="216" spans="1:10" x14ac:dyDescent="0.3">
      <c r="A216" s="2"/>
      <c r="F216" s="5"/>
      <c r="G216" s="5"/>
      <c r="H216" s="5"/>
      <c r="I216" s="5"/>
      <c r="J216" s="7"/>
    </row>
    <row r="217" spans="1:10" x14ac:dyDescent="0.3">
      <c r="A217" s="2"/>
      <c r="F217" s="5"/>
      <c r="G217" s="5"/>
      <c r="H217" s="5"/>
      <c r="I217" s="5"/>
      <c r="J217" s="7"/>
    </row>
    <row r="218" spans="1:10" x14ac:dyDescent="0.3">
      <c r="A218" s="2"/>
      <c r="F218" s="5"/>
      <c r="G218" s="5"/>
      <c r="H218" s="5"/>
      <c r="I218" s="5"/>
      <c r="J218" s="7"/>
    </row>
    <row r="219" spans="1:10" x14ac:dyDescent="0.3">
      <c r="A219" s="2"/>
      <c r="F219" s="5"/>
      <c r="G219" s="5"/>
      <c r="H219" s="5"/>
      <c r="I219" s="5"/>
      <c r="J219" s="7"/>
    </row>
    <row r="220" spans="1:10" x14ac:dyDescent="0.3">
      <c r="A220" s="2"/>
      <c r="F220" s="5"/>
      <c r="G220" s="5"/>
      <c r="H220" s="5"/>
      <c r="I220" s="5"/>
      <c r="J220" s="7"/>
    </row>
    <row r="221" spans="1:10" x14ac:dyDescent="0.3">
      <c r="A221" s="2"/>
      <c r="F221" s="5"/>
      <c r="G221" s="5"/>
      <c r="H221" s="5"/>
      <c r="I221" s="5"/>
      <c r="J221" s="7"/>
    </row>
    <row r="222" spans="1:10" x14ac:dyDescent="0.3">
      <c r="A222" s="2"/>
      <c r="F222" s="5"/>
      <c r="G222" s="5"/>
      <c r="H222" s="5"/>
      <c r="I222" s="5"/>
      <c r="J222" s="7"/>
    </row>
    <row r="223" spans="1:10" x14ac:dyDescent="0.3">
      <c r="A223" s="2"/>
      <c r="F223" s="5"/>
      <c r="G223" s="5"/>
      <c r="H223" s="5"/>
      <c r="I223" s="5"/>
      <c r="J223" s="7"/>
    </row>
    <row r="224" spans="1:10" x14ac:dyDescent="0.3">
      <c r="A224" s="2"/>
      <c r="F224" s="5"/>
      <c r="G224" s="5"/>
      <c r="H224" s="5"/>
      <c r="I224" s="5"/>
      <c r="J224" s="7"/>
    </row>
    <row r="225" spans="1:10" x14ac:dyDescent="0.3">
      <c r="A225" s="2"/>
      <c r="F225" s="5"/>
      <c r="G225" s="5"/>
      <c r="H225" s="5"/>
      <c r="I225" s="5"/>
      <c r="J225" s="7"/>
    </row>
    <row r="226" spans="1:10" x14ac:dyDescent="0.3">
      <c r="A226" s="2"/>
      <c r="F226" s="5"/>
      <c r="G226" s="5"/>
      <c r="H226" s="5"/>
      <c r="I226" s="5"/>
      <c r="J226" s="7"/>
    </row>
    <row r="227" spans="1:10" x14ac:dyDescent="0.3">
      <c r="A227" s="2"/>
      <c r="F227" s="5"/>
      <c r="G227" s="5"/>
      <c r="H227" s="5"/>
      <c r="I227" s="5"/>
      <c r="J227" s="7"/>
    </row>
    <row r="228" spans="1:10" x14ac:dyDescent="0.3">
      <c r="A228" s="2"/>
      <c r="F228" s="5"/>
      <c r="G228" s="5"/>
      <c r="H228" s="5"/>
      <c r="I228" s="5"/>
      <c r="J228" s="7"/>
    </row>
    <row r="229" spans="1:10" x14ac:dyDescent="0.3">
      <c r="A229" s="2"/>
      <c r="F229" s="5"/>
      <c r="G229" s="5"/>
      <c r="H229" s="5"/>
      <c r="I229" s="5"/>
      <c r="J229" s="7"/>
    </row>
    <row r="230" spans="1:10" x14ac:dyDescent="0.3">
      <c r="A230" s="2"/>
      <c r="F230" s="5"/>
      <c r="G230" s="5"/>
      <c r="H230" s="5"/>
      <c r="I230" s="5"/>
      <c r="J230" s="7"/>
    </row>
    <row r="231" spans="1:10" x14ac:dyDescent="0.3">
      <c r="A231" s="2"/>
      <c r="F231" s="5"/>
      <c r="G231" s="5"/>
      <c r="H231" s="5"/>
      <c r="I231" s="5"/>
      <c r="J231" s="7"/>
    </row>
    <row r="232" spans="1:10" x14ac:dyDescent="0.3">
      <c r="A232" s="2"/>
      <c r="F232" s="5"/>
      <c r="G232" s="5"/>
      <c r="H232" s="5"/>
      <c r="I232" s="5"/>
      <c r="J232" s="7"/>
    </row>
    <row r="233" spans="1:10" x14ac:dyDescent="0.3">
      <c r="A233" s="2"/>
      <c r="F233" s="5"/>
      <c r="G233" s="5"/>
      <c r="H233" s="5"/>
      <c r="I233" s="5"/>
      <c r="J233" s="7"/>
    </row>
    <row r="234" spans="1:10" x14ac:dyDescent="0.3">
      <c r="A234" s="2"/>
      <c r="F234" s="5"/>
      <c r="G234" s="5"/>
      <c r="H234" s="5"/>
      <c r="I234" s="5"/>
      <c r="J234" s="7"/>
    </row>
    <row r="235" spans="1:10" x14ac:dyDescent="0.3">
      <c r="A235" s="2"/>
      <c r="F235" s="5"/>
      <c r="G235" s="5"/>
      <c r="H235" s="5"/>
      <c r="I235" s="5"/>
      <c r="J235" s="7"/>
    </row>
    <row r="236" spans="1:10" x14ac:dyDescent="0.3">
      <c r="A236" s="2"/>
      <c r="F236" s="5"/>
      <c r="G236" s="5"/>
      <c r="H236" s="5"/>
      <c r="I236" s="5"/>
      <c r="J236" s="7"/>
    </row>
    <row r="237" spans="1:10" x14ac:dyDescent="0.3">
      <c r="A237" s="2"/>
      <c r="F237" s="5"/>
      <c r="G237" s="5"/>
      <c r="H237" s="5"/>
      <c r="I237" s="5"/>
      <c r="J237" s="7"/>
    </row>
    <row r="238" spans="1:10" x14ac:dyDescent="0.3">
      <c r="A238" s="2"/>
      <c r="F238" s="5"/>
      <c r="G238" s="5"/>
      <c r="H238" s="5"/>
      <c r="I238" s="5"/>
      <c r="J238" s="7"/>
    </row>
    <row r="239" spans="1:10" x14ac:dyDescent="0.3">
      <c r="A239" s="2"/>
      <c r="F239" s="5"/>
      <c r="G239" s="5"/>
      <c r="H239" s="5"/>
      <c r="I239" s="5"/>
      <c r="J239" s="7"/>
    </row>
    <row r="240" spans="1:10" x14ac:dyDescent="0.3">
      <c r="A240" s="2"/>
      <c r="F240" s="5"/>
      <c r="G240" s="5"/>
      <c r="H240" s="5"/>
      <c r="I240" s="5"/>
      <c r="J240" s="7"/>
    </row>
    <row r="241" spans="1:10" x14ac:dyDescent="0.3">
      <c r="A241" s="2"/>
      <c r="F241" s="5"/>
      <c r="G241" s="5"/>
      <c r="H241" s="5"/>
      <c r="I241" s="5"/>
      <c r="J241" s="7"/>
    </row>
    <row r="242" spans="1:10" x14ac:dyDescent="0.3">
      <c r="A242" s="2"/>
      <c r="F242" s="5"/>
      <c r="G242" s="5"/>
      <c r="H242" s="5"/>
      <c r="I242" s="5"/>
      <c r="J242" s="7"/>
    </row>
    <row r="243" spans="1:10" x14ac:dyDescent="0.3">
      <c r="A243" s="2"/>
      <c r="F243" s="5"/>
      <c r="G243" s="5"/>
      <c r="H243" s="5"/>
      <c r="I243" s="5"/>
      <c r="J243" s="7"/>
    </row>
    <row r="244" spans="1:10" x14ac:dyDescent="0.3">
      <c r="A244" s="2"/>
      <c r="F244" s="5"/>
      <c r="G244" s="5"/>
      <c r="H244" s="5"/>
      <c r="I244" s="5"/>
      <c r="J244" s="7"/>
    </row>
    <row r="245" spans="1:10" x14ac:dyDescent="0.3">
      <c r="A245" s="2"/>
      <c r="F245" s="5"/>
      <c r="G245" s="5"/>
      <c r="H245" s="5"/>
      <c r="I245" s="5"/>
      <c r="J245" s="7"/>
    </row>
    <row r="246" spans="1:10" x14ac:dyDescent="0.3">
      <c r="A246" s="2"/>
      <c r="F246" s="5"/>
      <c r="G246" s="5"/>
      <c r="H246" s="5"/>
      <c r="I246" s="5"/>
      <c r="J246" s="7"/>
    </row>
    <row r="247" spans="1:10" x14ac:dyDescent="0.3">
      <c r="A247" s="2"/>
      <c r="F247" s="5"/>
      <c r="G247" s="5"/>
      <c r="H247" s="5"/>
      <c r="I247" s="5"/>
      <c r="J247" s="7"/>
    </row>
    <row r="248" spans="1:10" x14ac:dyDescent="0.3">
      <c r="A248" s="2"/>
      <c r="F248" s="5"/>
      <c r="G248" s="5"/>
      <c r="H248" s="5"/>
      <c r="I248" s="5"/>
      <c r="J248" s="7"/>
    </row>
    <row r="249" spans="1:10" x14ac:dyDescent="0.3">
      <c r="A249" s="2"/>
      <c r="F249" s="5"/>
      <c r="G249" s="5"/>
      <c r="H249" s="5"/>
      <c r="I249" s="5"/>
      <c r="J249" s="7"/>
    </row>
    <row r="250" spans="1:10" x14ac:dyDescent="0.3">
      <c r="A250" s="2"/>
      <c r="F250" s="5"/>
      <c r="G250" s="5"/>
      <c r="H250" s="5"/>
      <c r="I250" s="5"/>
      <c r="J250" s="7"/>
    </row>
    <row r="251" spans="1:10" x14ac:dyDescent="0.3">
      <c r="A251" s="2"/>
      <c r="F251" s="5"/>
      <c r="G251" s="5"/>
      <c r="H251" s="5"/>
      <c r="I251" s="5"/>
      <c r="J251" s="7"/>
    </row>
    <row r="252" spans="1:10" x14ac:dyDescent="0.3">
      <c r="A252" s="2"/>
      <c r="F252" s="5"/>
      <c r="G252" s="5"/>
      <c r="H252" s="5"/>
      <c r="I252" s="5"/>
      <c r="J252" s="7"/>
    </row>
    <row r="253" spans="1:10" x14ac:dyDescent="0.3">
      <c r="A253" s="2"/>
      <c r="F253" s="5"/>
      <c r="G253" s="5"/>
      <c r="H253" s="5"/>
      <c r="I253" s="5"/>
      <c r="J253" s="7"/>
    </row>
    <row r="254" spans="1:10" x14ac:dyDescent="0.3">
      <c r="A254" s="2"/>
      <c r="F254" s="5"/>
      <c r="G254" s="5"/>
      <c r="H254" s="5"/>
      <c r="I254" s="5"/>
      <c r="J254" s="7"/>
    </row>
    <row r="255" spans="1:10" x14ac:dyDescent="0.3">
      <c r="A255" s="2"/>
      <c r="F255" s="5"/>
      <c r="G255" s="5"/>
      <c r="H255" s="5"/>
      <c r="I255" s="5"/>
      <c r="J255" s="7"/>
    </row>
    <row r="256" spans="1:10" x14ac:dyDescent="0.3">
      <c r="A256" s="2"/>
      <c r="F256" s="5"/>
      <c r="G256" s="5"/>
      <c r="H256" s="5"/>
      <c r="I256" s="5"/>
      <c r="J256" s="7"/>
    </row>
    <row r="257" spans="1:10" x14ac:dyDescent="0.3">
      <c r="A257" s="2"/>
      <c r="F257" s="5"/>
      <c r="G257" s="5"/>
      <c r="H257" s="5"/>
      <c r="I257" s="5"/>
      <c r="J257" s="7"/>
    </row>
    <row r="258" spans="1:10" x14ac:dyDescent="0.3">
      <c r="A258" s="2"/>
      <c r="F258" s="5"/>
      <c r="G258" s="5"/>
      <c r="H258" s="5"/>
      <c r="I258" s="5"/>
      <c r="J258" s="7"/>
    </row>
    <row r="259" spans="1:10" x14ac:dyDescent="0.3">
      <c r="A259" s="2"/>
      <c r="F259" s="5"/>
      <c r="G259" s="5"/>
      <c r="H259" s="5"/>
      <c r="I259" s="5"/>
      <c r="J259" s="7"/>
    </row>
    <row r="260" spans="1:10" x14ac:dyDescent="0.3">
      <c r="A260" s="2"/>
      <c r="F260" s="5"/>
      <c r="G260" s="5"/>
      <c r="H260" s="5"/>
      <c r="I260" s="5"/>
      <c r="J260" s="7"/>
    </row>
    <row r="261" spans="1:10" x14ac:dyDescent="0.3">
      <c r="A261" s="2"/>
      <c r="F261" s="5"/>
      <c r="G261" s="5"/>
      <c r="H261" s="5"/>
      <c r="I261" s="5"/>
      <c r="J261" s="7"/>
    </row>
    <row r="262" spans="1:10" x14ac:dyDescent="0.3">
      <c r="A262" s="2"/>
      <c r="F262" s="5"/>
      <c r="G262" s="5"/>
      <c r="H262" s="5"/>
      <c r="I262" s="5"/>
      <c r="J262" s="7"/>
    </row>
    <row r="263" spans="1:10" x14ac:dyDescent="0.3">
      <c r="A263" s="2"/>
      <c r="F263" s="5"/>
      <c r="G263" s="5"/>
      <c r="H263" s="5"/>
      <c r="I263" s="5"/>
      <c r="J263" s="7"/>
    </row>
    <row r="264" spans="1:10" x14ac:dyDescent="0.3">
      <c r="A264" s="2"/>
      <c r="F264" s="5"/>
      <c r="G264" s="5"/>
      <c r="H264" s="5"/>
      <c r="I264" s="5"/>
      <c r="J264" s="7"/>
    </row>
    <row r="265" spans="1:10" x14ac:dyDescent="0.3">
      <c r="A265" s="2"/>
      <c r="F265" s="5"/>
      <c r="G265" s="5"/>
      <c r="H265" s="5"/>
      <c r="I265" s="5"/>
      <c r="J265" s="7"/>
    </row>
    <row r="266" spans="1:10" x14ac:dyDescent="0.3">
      <c r="A266" s="2"/>
      <c r="F266" s="5"/>
      <c r="G266" s="5"/>
      <c r="H266" s="5"/>
      <c r="I266" s="5"/>
      <c r="J266" s="7"/>
    </row>
    <row r="267" spans="1:10" x14ac:dyDescent="0.3">
      <c r="A267" s="2"/>
      <c r="F267" s="5"/>
      <c r="G267" s="5"/>
      <c r="H267" s="5"/>
      <c r="I267" s="5"/>
      <c r="J267" s="7"/>
    </row>
    <row r="268" spans="1:10" x14ac:dyDescent="0.3">
      <c r="A268" s="2"/>
      <c r="F268" s="5"/>
      <c r="G268" s="5"/>
      <c r="H268" s="5"/>
      <c r="I268" s="5"/>
      <c r="J268" s="7"/>
    </row>
    <row r="269" spans="1:10" x14ac:dyDescent="0.3">
      <c r="A269" s="2"/>
      <c r="F269" s="5"/>
      <c r="G269" s="5"/>
      <c r="H269" s="5"/>
      <c r="I269" s="5"/>
      <c r="J269" s="7"/>
    </row>
    <row r="270" spans="1:10" x14ac:dyDescent="0.3">
      <c r="A270" s="2"/>
      <c r="F270" s="5"/>
      <c r="G270" s="5"/>
      <c r="H270" s="5"/>
      <c r="I270" s="5"/>
      <c r="J270" s="7"/>
    </row>
    <row r="271" spans="1:10" x14ac:dyDescent="0.3">
      <c r="A271" s="2"/>
      <c r="F271" s="5"/>
      <c r="G271" s="5"/>
      <c r="H271" s="5"/>
      <c r="I271" s="5"/>
      <c r="J271" s="7"/>
    </row>
    <row r="272" spans="1:10" x14ac:dyDescent="0.3">
      <c r="A272" s="2"/>
      <c r="F272" s="5"/>
      <c r="G272" s="5"/>
      <c r="H272" s="5"/>
      <c r="I272" s="5"/>
      <c r="J272" s="7"/>
    </row>
    <row r="273" spans="1:10" x14ac:dyDescent="0.3">
      <c r="A273" s="2"/>
      <c r="F273" s="5"/>
      <c r="G273" s="5"/>
      <c r="H273" s="5"/>
      <c r="I273" s="5"/>
      <c r="J273" s="7"/>
    </row>
    <row r="274" spans="1:10" x14ac:dyDescent="0.3">
      <c r="A274" s="2"/>
      <c r="F274" s="5"/>
      <c r="G274" s="5"/>
      <c r="H274" s="5"/>
      <c r="I274" s="5"/>
      <c r="J274" s="7"/>
    </row>
    <row r="275" spans="1:10" x14ac:dyDescent="0.3">
      <c r="A275" s="2"/>
      <c r="F275" s="5"/>
      <c r="G275" s="5"/>
      <c r="H275" s="5"/>
      <c r="I275" s="5"/>
      <c r="J275" s="7"/>
    </row>
    <row r="276" spans="1:10" x14ac:dyDescent="0.3">
      <c r="A276" s="2"/>
      <c r="F276" s="5"/>
      <c r="G276" s="5"/>
      <c r="H276" s="5"/>
      <c r="I276" s="5"/>
      <c r="J276" s="7"/>
    </row>
    <row r="277" spans="1:10" x14ac:dyDescent="0.3">
      <c r="A277" s="2"/>
      <c r="F277" s="5"/>
      <c r="G277" s="5"/>
      <c r="H277" s="5"/>
      <c r="I277" s="5"/>
      <c r="J277" s="7"/>
    </row>
    <row r="278" spans="1:10" x14ac:dyDescent="0.3">
      <c r="A278" s="2"/>
      <c r="F278" s="5"/>
      <c r="G278" s="5"/>
      <c r="H278" s="5"/>
      <c r="I278" s="5"/>
      <c r="J278" s="7"/>
    </row>
    <row r="279" spans="1:10" x14ac:dyDescent="0.3">
      <c r="A279" s="2"/>
      <c r="F279" s="5"/>
      <c r="G279" s="5"/>
      <c r="H279" s="5"/>
      <c r="I279" s="5"/>
      <c r="J279" s="7"/>
    </row>
    <row r="280" spans="1:10" x14ac:dyDescent="0.3">
      <c r="A280" s="2"/>
      <c r="F280" s="5"/>
      <c r="G280" s="5"/>
      <c r="H280" s="5"/>
      <c r="I280" s="5"/>
      <c r="J280" s="7"/>
    </row>
    <row r="281" spans="1:10" x14ac:dyDescent="0.3">
      <c r="A281" s="2"/>
      <c r="F281" s="5"/>
      <c r="G281" s="5"/>
      <c r="H281" s="5"/>
      <c r="I281" s="5"/>
      <c r="J281" s="7"/>
    </row>
    <row r="282" spans="1:10" x14ac:dyDescent="0.3">
      <c r="A282" s="2"/>
      <c r="F282" s="5"/>
      <c r="G282" s="5"/>
      <c r="H282" s="5"/>
      <c r="I282" s="5"/>
      <c r="J282" s="7"/>
    </row>
    <row r="283" spans="1:10" x14ac:dyDescent="0.3">
      <c r="A283" s="2"/>
      <c r="F283" s="5"/>
      <c r="G283" s="5"/>
      <c r="H283" s="5"/>
      <c r="I283" s="5"/>
      <c r="J283" s="7"/>
    </row>
    <row r="284" spans="1:10" x14ac:dyDescent="0.3">
      <c r="A284" s="2"/>
      <c r="F284" s="5"/>
      <c r="G284" s="5"/>
      <c r="H284" s="5"/>
      <c r="I284" s="5"/>
      <c r="J284" s="7"/>
    </row>
    <row r="285" spans="1:10" x14ac:dyDescent="0.3">
      <c r="A285" s="2"/>
      <c r="F285" s="5"/>
      <c r="G285" s="5"/>
      <c r="H285" s="5"/>
      <c r="I285" s="5"/>
      <c r="J285" s="7"/>
    </row>
    <row r="286" spans="1:10" x14ac:dyDescent="0.3">
      <c r="A286" s="2"/>
      <c r="F286" s="5"/>
      <c r="G286" s="5"/>
      <c r="H286" s="5"/>
      <c r="I286" s="5"/>
      <c r="J286" s="7"/>
    </row>
    <row r="287" spans="1:10" x14ac:dyDescent="0.3">
      <c r="A287" s="2"/>
      <c r="F287" s="5"/>
      <c r="G287" s="5"/>
      <c r="H287" s="5"/>
      <c r="I287" s="5"/>
      <c r="J287" s="7"/>
    </row>
    <row r="288" spans="1:10" x14ac:dyDescent="0.3">
      <c r="A288" s="2"/>
      <c r="F288" s="5"/>
      <c r="G288" s="5"/>
      <c r="H288" s="5"/>
      <c r="I288" s="5"/>
      <c r="J288" s="7"/>
    </row>
    <row r="289" spans="1:10" x14ac:dyDescent="0.3">
      <c r="A289" s="2"/>
      <c r="F289" s="5"/>
      <c r="G289" s="5"/>
      <c r="H289" s="5"/>
      <c r="I289" s="5"/>
      <c r="J289" s="7"/>
    </row>
    <row r="290" spans="1:10" x14ac:dyDescent="0.3">
      <c r="A290" s="2"/>
      <c r="F290" s="5"/>
      <c r="G290" s="5"/>
      <c r="H290" s="5"/>
      <c r="I290" s="5"/>
      <c r="J290" s="7"/>
    </row>
    <row r="291" spans="1:10" x14ac:dyDescent="0.3">
      <c r="A291" s="2"/>
      <c r="F291" s="5"/>
      <c r="G291" s="5"/>
      <c r="H291" s="5"/>
      <c r="I291" s="5"/>
      <c r="J291" s="7"/>
    </row>
    <row r="292" spans="1:10" x14ac:dyDescent="0.3">
      <c r="A292" s="2"/>
      <c r="F292" s="5"/>
      <c r="G292" s="5"/>
      <c r="H292" s="5"/>
      <c r="I292" s="5"/>
      <c r="J292" s="7"/>
    </row>
    <row r="293" spans="1:10" x14ac:dyDescent="0.3">
      <c r="A293" s="2"/>
      <c r="F293" s="5"/>
      <c r="G293" s="5"/>
      <c r="H293" s="5"/>
      <c r="I293" s="5"/>
      <c r="J293" s="7"/>
    </row>
    <row r="294" spans="1:10" x14ac:dyDescent="0.3">
      <c r="A294" s="2"/>
      <c r="F294" s="5"/>
      <c r="G294" s="5"/>
      <c r="H294" s="5"/>
      <c r="I294" s="5"/>
      <c r="J294" s="7"/>
    </row>
    <row r="295" spans="1:10" x14ac:dyDescent="0.3">
      <c r="A295" s="2"/>
      <c r="F295" s="5"/>
      <c r="G295" s="5"/>
      <c r="H295" s="5"/>
      <c r="I295" s="5"/>
      <c r="J295" s="7"/>
    </row>
    <row r="296" spans="1:10" x14ac:dyDescent="0.3">
      <c r="A296" s="2"/>
      <c r="F296" s="5"/>
      <c r="G296" s="5"/>
      <c r="H296" s="5"/>
      <c r="I296" s="5"/>
      <c r="J296" s="7"/>
    </row>
    <row r="297" spans="1:10" x14ac:dyDescent="0.3">
      <c r="A297" s="2"/>
      <c r="F297" s="5"/>
      <c r="G297" s="5"/>
      <c r="H297" s="5"/>
      <c r="I297" s="5"/>
      <c r="J297" s="7"/>
    </row>
    <row r="298" spans="1:10" x14ac:dyDescent="0.3">
      <c r="A298" s="2"/>
      <c r="F298" s="5"/>
      <c r="G298" s="5"/>
      <c r="H298" s="5"/>
      <c r="I298" s="5"/>
      <c r="J298" s="7"/>
    </row>
    <row r="299" spans="1:10" x14ac:dyDescent="0.3">
      <c r="A299" s="2"/>
      <c r="F299" s="5"/>
      <c r="G299" s="5"/>
      <c r="H299" s="5"/>
      <c r="I299" s="5"/>
      <c r="J299" s="7"/>
    </row>
    <row r="300" spans="1:10" x14ac:dyDescent="0.3">
      <c r="A300" s="2"/>
      <c r="F300" s="5"/>
      <c r="G300" s="5"/>
      <c r="H300" s="5"/>
      <c r="I300" s="5"/>
      <c r="J300" s="7"/>
    </row>
    <row r="301" spans="1:10" x14ac:dyDescent="0.3">
      <c r="A301" s="2"/>
      <c r="F301" s="5"/>
      <c r="G301" s="5"/>
      <c r="H301" s="5"/>
      <c r="I301" s="5"/>
      <c r="J301" s="7"/>
    </row>
    <row r="302" spans="1:10" x14ac:dyDescent="0.3">
      <c r="A302" s="2"/>
      <c r="F302" s="5"/>
      <c r="G302" s="5"/>
      <c r="H302" s="5"/>
      <c r="I302" s="5"/>
      <c r="J302" s="7"/>
    </row>
    <row r="303" spans="1:10" x14ac:dyDescent="0.3">
      <c r="A303" s="2"/>
      <c r="F303" s="5"/>
      <c r="G303" s="5"/>
      <c r="H303" s="5"/>
      <c r="I303" s="5"/>
      <c r="J303" s="7"/>
    </row>
    <row r="304" spans="1:10" x14ac:dyDescent="0.3">
      <c r="A304" s="2"/>
      <c r="F304" s="5"/>
      <c r="G304" s="5"/>
      <c r="H304" s="5"/>
      <c r="I304" s="5"/>
      <c r="J304" s="7"/>
    </row>
    <row r="305" spans="1:10" x14ac:dyDescent="0.3">
      <c r="A305" s="2"/>
      <c r="F305" s="5"/>
      <c r="G305" s="5"/>
      <c r="H305" s="5"/>
      <c r="I305" s="5"/>
      <c r="J305" s="7"/>
    </row>
    <row r="306" spans="1:10" x14ac:dyDescent="0.3">
      <c r="A306" s="2"/>
      <c r="F306" s="5"/>
      <c r="G306" s="5"/>
      <c r="H306" s="5"/>
      <c r="I306" s="5"/>
      <c r="J306" s="7"/>
    </row>
    <row r="307" spans="1:10" x14ac:dyDescent="0.3">
      <c r="A307" s="2"/>
      <c r="F307" s="5"/>
      <c r="G307" s="5"/>
      <c r="H307" s="5"/>
      <c r="I307" s="5"/>
      <c r="J307" s="7"/>
    </row>
    <row r="308" spans="1:10" x14ac:dyDescent="0.3">
      <c r="A308" s="2"/>
      <c r="F308" s="5"/>
      <c r="G308" s="5"/>
      <c r="H308" s="5"/>
      <c r="I308" s="5"/>
      <c r="J308" s="7"/>
    </row>
    <row r="309" spans="1:10" x14ac:dyDescent="0.3">
      <c r="A309" s="2"/>
      <c r="F309" s="5"/>
      <c r="G309" s="5"/>
      <c r="H309" s="5"/>
      <c r="I309" s="5"/>
      <c r="J309" s="7"/>
    </row>
    <row r="310" spans="1:10" x14ac:dyDescent="0.3">
      <c r="A310" s="2"/>
      <c r="F310" s="5"/>
      <c r="G310" s="5"/>
      <c r="H310" s="5"/>
      <c r="I310" s="5"/>
      <c r="J310" s="7"/>
    </row>
    <row r="311" spans="1:10" x14ac:dyDescent="0.3">
      <c r="A311" s="2"/>
      <c r="F311" s="5"/>
      <c r="G311" s="5"/>
      <c r="H311" s="5"/>
      <c r="I311" s="5"/>
      <c r="J311" s="7"/>
    </row>
    <row r="312" spans="1:10" x14ac:dyDescent="0.3">
      <c r="A312" s="2"/>
      <c r="F312" s="5"/>
      <c r="G312" s="5"/>
      <c r="H312" s="5"/>
      <c r="I312" s="5"/>
      <c r="J312" s="7"/>
    </row>
    <row r="313" spans="1:10" x14ac:dyDescent="0.3">
      <c r="A313" s="2"/>
      <c r="F313" s="5"/>
      <c r="G313" s="5"/>
      <c r="H313" s="5"/>
      <c r="I313" s="5"/>
      <c r="J313" s="7"/>
    </row>
    <row r="314" spans="1:10" x14ac:dyDescent="0.3">
      <c r="A314" s="2"/>
      <c r="F314" s="5"/>
      <c r="G314" s="5"/>
      <c r="H314" s="5"/>
      <c r="I314" s="5"/>
      <c r="J314" s="7"/>
    </row>
    <row r="315" spans="1:10" x14ac:dyDescent="0.3">
      <c r="A315" s="2"/>
      <c r="F315" s="5"/>
      <c r="G315" s="5"/>
      <c r="H315" s="5"/>
      <c r="I315" s="5"/>
      <c r="J315" s="7"/>
    </row>
    <row r="316" spans="1:10" x14ac:dyDescent="0.3">
      <c r="A316" s="2"/>
      <c r="F316" s="5"/>
      <c r="G316" s="5"/>
      <c r="H316" s="5"/>
      <c r="I316" s="5"/>
      <c r="J316" s="7"/>
    </row>
    <row r="317" spans="1:10" x14ac:dyDescent="0.3">
      <c r="A317" s="2"/>
      <c r="F317" s="5"/>
      <c r="G317" s="5"/>
      <c r="H317" s="5"/>
      <c r="I317" s="5"/>
      <c r="J317" s="7"/>
    </row>
    <row r="318" spans="1:10" x14ac:dyDescent="0.3">
      <c r="A318" s="2"/>
      <c r="F318" s="5"/>
      <c r="G318" s="5"/>
      <c r="H318" s="5"/>
      <c r="I318" s="5"/>
      <c r="J318" s="7"/>
    </row>
    <row r="319" spans="1:10" x14ac:dyDescent="0.3">
      <c r="A319" s="2"/>
      <c r="F319" s="5"/>
      <c r="G319" s="5"/>
      <c r="H319" s="5"/>
      <c r="I319" s="5"/>
      <c r="J319" s="7"/>
    </row>
    <row r="320" spans="1:10" x14ac:dyDescent="0.3">
      <c r="A320" s="2"/>
      <c r="F320" s="5"/>
      <c r="G320" s="5"/>
      <c r="H320" s="5"/>
      <c r="I320" s="5"/>
      <c r="J320" s="7"/>
    </row>
    <row r="321" spans="1:10" x14ac:dyDescent="0.3">
      <c r="A321" s="2"/>
      <c r="F321" s="5"/>
      <c r="G321" s="5"/>
      <c r="H321" s="5"/>
      <c r="I321" s="5"/>
      <c r="J321" s="7"/>
    </row>
    <row r="322" spans="1:10" x14ac:dyDescent="0.3">
      <c r="A322" s="2"/>
      <c r="F322" s="5"/>
      <c r="G322" s="5"/>
      <c r="H322" s="5"/>
      <c r="I322" s="5"/>
      <c r="J322" s="7"/>
    </row>
    <row r="323" spans="1:10" x14ac:dyDescent="0.3">
      <c r="A323" s="2"/>
      <c r="F323" s="5"/>
      <c r="G323" s="5"/>
      <c r="H323" s="5"/>
      <c r="I323" s="5"/>
      <c r="J323" s="7"/>
    </row>
    <row r="324" spans="1:10" x14ac:dyDescent="0.3">
      <c r="A324" s="2"/>
      <c r="F324" s="5"/>
      <c r="G324" s="5"/>
      <c r="H324" s="5"/>
      <c r="I324" s="5"/>
      <c r="J324" s="7"/>
    </row>
    <row r="325" spans="1:10" x14ac:dyDescent="0.3">
      <c r="A325" s="2"/>
      <c r="F325" s="5"/>
      <c r="G325" s="5"/>
      <c r="H325" s="5"/>
      <c r="I325" s="5"/>
      <c r="J325" s="7"/>
    </row>
    <row r="326" spans="1:10" x14ac:dyDescent="0.3">
      <c r="A326" s="2"/>
      <c r="F326" s="5"/>
      <c r="G326" s="5"/>
      <c r="H326" s="5"/>
      <c r="I326" s="5"/>
      <c r="J326" s="7"/>
    </row>
    <row r="327" spans="1:10" x14ac:dyDescent="0.3">
      <c r="A327" s="2"/>
      <c r="F327" s="5"/>
      <c r="G327" s="5"/>
      <c r="H327" s="5"/>
      <c r="I327" s="5"/>
      <c r="J327" s="7"/>
    </row>
    <row r="328" spans="1:10" x14ac:dyDescent="0.3">
      <c r="A328" s="2"/>
      <c r="F328" s="5"/>
      <c r="G328" s="5"/>
      <c r="H328" s="5"/>
      <c r="I328" s="5"/>
      <c r="J328" s="7"/>
    </row>
    <row r="329" spans="1:10" x14ac:dyDescent="0.3">
      <c r="A329" s="2"/>
      <c r="F329" s="5"/>
      <c r="G329" s="5"/>
      <c r="H329" s="5"/>
      <c r="I329" s="5"/>
      <c r="J329" s="7"/>
    </row>
    <row r="330" spans="1:10" x14ac:dyDescent="0.3">
      <c r="A330" s="2"/>
      <c r="F330" s="5"/>
      <c r="G330" s="5"/>
      <c r="H330" s="5"/>
      <c r="I330" s="5"/>
      <c r="J330" s="7"/>
    </row>
    <row r="331" spans="1:10" x14ac:dyDescent="0.3">
      <c r="A331" s="2"/>
      <c r="F331" s="5"/>
      <c r="G331" s="5"/>
      <c r="H331" s="5"/>
      <c r="I331" s="5"/>
      <c r="J331" s="7"/>
    </row>
    <row r="332" spans="1:10" x14ac:dyDescent="0.3">
      <c r="A332" s="2"/>
      <c r="F332" s="5"/>
      <c r="G332" s="5"/>
      <c r="H332" s="5"/>
      <c r="I332" s="5"/>
      <c r="J332" s="7"/>
    </row>
    <row r="333" spans="1:10" x14ac:dyDescent="0.3">
      <c r="A333" s="2"/>
      <c r="F333" s="5"/>
      <c r="G333" s="5"/>
      <c r="H333" s="5"/>
      <c r="I333" s="5"/>
      <c r="J333" s="7"/>
    </row>
    <row r="334" spans="1:10" x14ac:dyDescent="0.3">
      <c r="A334" s="2"/>
      <c r="F334" s="5"/>
      <c r="G334" s="5"/>
      <c r="H334" s="5"/>
      <c r="I334" s="5"/>
      <c r="J334" s="7"/>
    </row>
    <row r="335" spans="1:10" x14ac:dyDescent="0.3">
      <c r="A335" s="2"/>
      <c r="F335" s="5"/>
      <c r="G335" s="5"/>
      <c r="H335" s="5"/>
      <c r="I335" s="5"/>
      <c r="J335" s="7"/>
    </row>
    <row r="336" spans="1:10" x14ac:dyDescent="0.3">
      <c r="A336" s="2"/>
      <c r="F336" s="5"/>
      <c r="G336" s="5"/>
      <c r="H336" s="5"/>
      <c r="I336" s="5"/>
      <c r="J336" s="7"/>
    </row>
    <row r="337" spans="1:10" x14ac:dyDescent="0.3">
      <c r="A337" s="2"/>
      <c r="F337" s="5"/>
      <c r="G337" s="5"/>
      <c r="H337" s="5"/>
      <c r="I337" s="5"/>
      <c r="J337" s="7"/>
    </row>
    <row r="338" spans="1:10" x14ac:dyDescent="0.3">
      <c r="A338" s="2"/>
      <c r="F338" s="5"/>
      <c r="G338" s="5"/>
      <c r="H338" s="5"/>
      <c r="I338" s="5"/>
      <c r="J338" s="7"/>
    </row>
    <row r="339" spans="1:10" x14ac:dyDescent="0.3">
      <c r="A339" s="2"/>
      <c r="F339" s="5"/>
      <c r="G339" s="5"/>
      <c r="H339" s="5"/>
      <c r="I339" s="5"/>
      <c r="J339" s="7"/>
    </row>
    <row r="340" spans="1:10" x14ac:dyDescent="0.3">
      <c r="A340" s="2"/>
      <c r="F340" s="5"/>
      <c r="G340" s="5"/>
      <c r="H340" s="5"/>
      <c r="I340" s="5"/>
      <c r="J340" s="7"/>
    </row>
    <row r="341" spans="1:10" x14ac:dyDescent="0.3">
      <c r="A341" s="2"/>
      <c r="F341" s="5"/>
      <c r="G341" s="5"/>
      <c r="H341" s="5"/>
      <c r="I341" s="5"/>
      <c r="J341" s="7"/>
    </row>
    <row r="342" spans="1:10" x14ac:dyDescent="0.3">
      <c r="A342" s="2"/>
      <c r="F342" s="5"/>
      <c r="G342" s="5"/>
      <c r="H342" s="5"/>
      <c r="I342" s="5"/>
      <c r="J342" s="7"/>
    </row>
    <row r="343" spans="1:10" x14ac:dyDescent="0.3">
      <c r="A343" s="2"/>
      <c r="F343" s="5"/>
      <c r="G343" s="5"/>
      <c r="H343" s="5"/>
      <c r="I343" s="5"/>
      <c r="J343" s="7"/>
    </row>
    <row r="344" spans="1:10" x14ac:dyDescent="0.3">
      <c r="A344" s="2"/>
      <c r="F344" s="5"/>
      <c r="G344" s="5"/>
      <c r="H344" s="5"/>
      <c r="I344" s="5"/>
      <c r="J344" s="7"/>
    </row>
    <row r="345" spans="1:10" x14ac:dyDescent="0.3">
      <c r="A345" s="2"/>
      <c r="F345" s="5"/>
      <c r="G345" s="5"/>
      <c r="H345" s="5"/>
      <c r="I345" s="5"/>
      <c r="J345" s="7"/>
    </row>
    <row r="346" spans="1:10" x14ac:dyDescent="0.3">
      <c r="A346" s="2"/>
      <c r="F346" s="5"/>
      <c r="G346" s="5"/>
      <c r="H346" s="5"/>
      <c r="I346" s="5"/>
      <c r="J346" s="7"/>
    </row>
    <row r="347" spans="1:10" x14ac:dyDescent="0.3">
      <c r="A347" s="2"/>
      <c r="F347" s="5"/>
      <c r="G347" s="5"/>
      <c r="H347" s="5"/>
      <c r="I347" s="5"/>
      <c r="J347" s="7"/>
    </row>
    <row r="348" spans="1:10" x14ac:dyDescent="0.3">
      <c r="A348" s="2"/>
      <c r="F348" s="5"/>
      <c r="G348" s="5"/>
      <c r="H348" s="5"/>
      <c r="I348" s="5"/>
      <c r="J348" s="7"/>
    </row>
    <row r="349" spans="1:10" x14ac:dyDescent="0.3">
      <c r="A349" s="2"/>
      <c r="F349" s="5"/>
      <c r="G349" s="5"/>
      <c r="H349" s="5"/>
      <c r="I349" s="5"/>
      <c r="J349" s="7"/>
    </row>
    <row r="350" spans="1:10" x14ac:dyDescent="0.3">
      <c r="A350" s="2"/>
      <c r="F350" s="5"/>
      <c r="G350" s="5"/>
      <c r="H350" s="5"/>
      <c r="I350" s="5"/>
      <c r="J350" s="7"/>
    </row>
    <row r="351" spans="1:10" x14ac:dyDescent="0.3">
      <c r="A351" s="2"/>
      <c r="F351" s="5"/>
      <c r="G351" s="5"/>
      <c r="H351" s="5"/>
      <c r="I351" s="5"/>
      <c r="J351" s="7"/>
    </row>
    <row r="352" spans="1:10" x14ac:dyDescent="0.3">
      <c r="A352" s="2"/>
      <c r="F352" s="5"/>
      <c r="G352" s="5"/>
      <c r="H352" s="5"/>
      <c r="I352" s="5"/>
      <c r="J352" s="7"/>
    </row>
    <row r="353" spans="1:10" x14ac:dyDescent="0.3">
      <c r="A353" s="2"/>
      <c r="F353" s="5"/>
      <c r="G353" s="5"/>
      <c r="H353" s="5"/>
      <c r="I353" s="5"/>
      <c r="J353" s="7"/>
    </row>
    <row r="354" spans="1:10" x14ac:dyDescent="0.3">
      <c r="A354" s="2"/>
      <c r="F354" s="5"/>
      <c r="G354" s="5"/>
      <c r="H354" s="5"/>
      <c r="I354" s="5"/>
      <c r="J354" s="7"/>
    </row>
    <row r="355" spans="1:10" x14ac:dyDescent="0.3">
      <c r="A355" s="2"/>
      <c r="F355" s="5"/>
      <c r="G355" s="5"/>
      <c r="H355" s="5"/>
      <c r="I355" s="5"/>
      <c r="J355" s="7"/>
    </row>
    <row r="356" spans="1:10" x14ac:dyDescent="0.3">
      <c r="F356" s="5"/>
      <c r="G356" s="5"/>
      <c r="H356" s="5"/>
      <c r="I356" s="5"/>
      <c r="J356" s="7"/>
    </row>
    <row r="357" spans="1:10" x14ac:dyDescent="0.3">
      <c r="F357" s="5"/>
      <c r="G357" s="5"/>
      <c r="H357" s="5"/>
      <c r="I357" s="5"/>
      <c r="J357" s="7"/>
    </row>
    <row r="358" spans="1:10" x14ac:dyDescent="0.3">
      <c r="F358" s="5"/>
      <c r="G358" s="5"/>
      <c r="H358" s="5"/>
      <c r="I358" s="5"/>
      <c r="J358" s="7"/>
    </row>
    <row r="359" spans="1:10" x14ac:dyDescent="0.3">
      <c r="F359" s="5"/>
      <c r="G359" s="5"/>
      <c r="H359" s="5"/>
      <c r="I359" s="5"/>
      <c r="J359" s="7"/>
    </row>
    <row r="360" spans="1:10" x14ac:dyDescent="0.3">
      <c r="F360" s="5"/>
      <c r="G360" s="5"/>
      <c r="H360" s="5"/>
      <c r="I360" s="5"/>
      <c r="J360" s="7"/>
    </row>
    <row r="361" spans="1:10" x14ac:dyDescent="0.3">
      <c r="F361" s="5"/>
      <c r="G361" s="5"/>
      <c r="H361" s="5"/>
      <c r="I361" s="5"/>
      <c r="J361" s="7"/>
    </row>
    <row r="362" spans="1:10" x14ac:dyDescent="0.3">
      <c r="F362" s="5"/>
      <c r="G362" s="5"/>
      <c r="H362" s="5"/>
      <c r="I362" s="5"/>
      <c r="J362" s="7"/>
    </row>
    <row r="363" spans="1:10" x14ac:dyDescent="0.3">
      <c r="F363" s="5"/>
      <c r="G363" s="5"/>
      <c r="H363" s="5"/>
      <c r="I363" s="5"/>
      <c r="J363" s="7"/>
    </row>
    <row r="364" spans="1:10" x14ac:dyDescent="0.3">
      <c r="F364" s="5"/>
      <c r="G364" s="5"/>
      <c r="H364" s="5"/>
      <c r="I364" s="5"/>
      <c r="J364" s="7"/>
    </row>
    <row r="365" spans="1:10" x14ac:dyDescent="0.3">
      <c r="F365" s="5"/>
      <c r="G365" s="5"/>
      <c r="H365" s="5"/>
      <c r="I365" s="5"/>
      <c r="J365" s="7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Godswill Ezeorah</dc:creator>
  <cp:lastModifiedBy>Godswill</cp:lastModifiedBy>
  <dcterms:created xsi:type="dcterms:W3CDTF">2015-06-05T18:17:20Z</dcterms:created>
  <dcterms:modified xsi:type="dcterms:W3CDTF">2021-12-06T07:06:39Z</dcterms:modified>
</cp:coreProperties>
</file>